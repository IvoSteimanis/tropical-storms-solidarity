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 Burger\HESSENBOX\2-Projekte (Björn Vollan)\BOSCH\4-Paper\Endogenous Preferences Haiyan\analysis\data\Migration\"/>
    </mc:Choice>
  </mc:AlternateContent>
  <xr:revisionPtr revIDLastSave="0" documentId="13_ncr:1_{3934A23F-66AF-470E-A493-57CE5FB26DDC}" xr6:coauthVersionLast="47" xr6:coauthVersionMax="47" xr10:uidLastSave="{00000000-0000-0000-0000-000000000000}"/>
  <bookViews>
    <workbookView xWindow="-105" yWindow="0" windowWidth="19410" windowHeight="20985" xr2:uid="{E89822A0-B3B8-4576-ADCE-D14EB68DFD2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7" i="1"/>
  <c r="H18" i="1"/>
  <c r="H19" i="1"/>
  <c r="H20" i="1"/>
  <c r="H21" i="1"/>
  <c r="H22" i="1"/>
  <c r="H23" i="1"/>
  <c r="H25" i="1"/>
  <c r="H28" i="1"/>
  <c r="H29" i="1"/>
  <c r="H31" i="1"/>
  <c r="H2" i="1"/>
</calcChain>
</file>

<file path=xl/sharedStrings.xml><?xml version="1.0" encoding="utf-8"?>
<sst xmlns="http://schemas.openxmlformats.org/spreadsheetml/2006/main" count="109" uniqueCount="68">
  <si>
    <t>Village</t>
  </si>
  <si>
    <t>Sagua</t>
  </si>
  <si>
    <t>Anini-y</t>
  </si>
  <si>
    <t>Lisub-A</t>
  </si>
  <si>
    <t>Igdalaguit</t>
  </si>
  <si>
    <t>Tobias Fornier</t>
  </si>
  <si>
    <t>Sinogbuhan</t>
  </si>
  <si>
    <t>San Joaquin</t>
  </si>
  <si>
    <t>Paciencia</t>
  </si>
  <si>
    <t>Igcondao</t>
  </si>
  <si>
    <t>Cata-An</t>
  </si>
  <si>
    <t>Santa Rita</t>
  </si>
  <si>
    <t>Bucaya</t>
  </si>
  <si>
    <t>Tapikan</t>
  </si>
  <si>
    <t>Igcawayan</t>
  </si>
  <si>
    <t>San Lorenzo</t>
  </si>
  <si>
    <t>Baras</t>
  </si>
  <si>
    <t>Guimbal</t>
  </si>
  <si>
    <t>Calampitao</t>
  </si>
  <si>
    <t>Suclaran</t>
  </si>
  <si>
    <t>Paloc Bique</t>
  </si>
  <si>
    <t>Dumangas</t>
  </si>
  <si>
    <t>Nanding Lopez</t>
  </si>
  <si>
    <t>Pajo</t>
  </si>
  <si>
    <t>Libertad</t>
  </si>
  <si>
    <t>Bulanao</t>
  </si>
  <si>
    <t>Cubay</t>
  </si>
  <si>
    <t>Maramig</t>
  </si>
  <si>
    <t>San Roque</t>
  </si>
  <si>
    <t>Igcagay</t>
  </si>
  <si>
    <t>Paz</t>
  </si>
  <si>
    <t>Pucio</t>
  </si>
  <si>
    <t>Dungon</t>
  </si>
  <si>
    <t>Concepcion</t>
  </si>
  <si>
    <t>Maliogliog</t>
  </si>
  <si>
    <t>Batonan-Sur</t>
  </si>
  <si>
    <t>Culasi</t>
  </si>
  <si>
    <t>Balac-Balac</t>
  </si>
  <si>
    <t>Polopina</t>
  </si>
  <si>
    <t>Talotoan</t>
  </si>
  <si>
    <t>population (2007 census)</t>
  </si>
  <si>
    <t>Municipality</t>
  </si>
  <si>
    <t>Reversed distance</t>
  </si>
  <si>
    <t>% of pop. out-migrating</t>
  </si>
  <si>
    <t>out-migration (Lukas)</t>
  </si>
  <si>
    <t>Only sheet from Key Informant Interview; No official documents</t>
  </si>
  <si>
    <t>Official in Key Informant Interview marked 2012 Household list: “x” permanently out</t>
  </si>
  <si>
    <t>out-migration (Households, Fotos of Documents)</t>
  </si>
  <si>
    <t>KII &amp; HH-List &amp; handwritten note</t>
  </si>
  <si>
    <t>KII (1 noted) &amp; HH-List (none marked)</t>
  </si>
  <si>
    <t>Handwritten note on households temporary&amp;permanently moving out</t>
  </si>
  <si>
    <t>Household list and handwritten note</t>
  </si>
  <si>
    <t>.</t>
  </si>
  <si>
    <t>Handwritten note</t>
  </si>
  <si>
    <t>Key informant interview sheet with names noted on it</t>
  </si>
  <si>
    <t>Missing</t>
  </si>
  <si>
    <t>Handwritten during Key Informant Interview</t>
  </si>
  <si>
    <t>Out-migration list</t>
  </si>
  <si>
    <t>Household list</t>
  </si>
  <si>
    <t xml:space="preserve">Key informant interview sheet </t>
  </si>
  <si>
    <t>Key informant interview sheet with name noted on it</t>
  </si>
  <si>
    <t>Key informant interview sheet</t>
  </si>
  <si>
    <t>Comment on document form which data was derived</t>
  </si>
  <si>
    <t>missing</t>
  </si>
  <si>
    <t>non-readable</t>
  </si>
  <si>
    <t>Key informant interview sheet with names noted on it + Handwritten note</t>
  </si>
  <si>
    <t>Key informant interview sheet with names noted on it (In-Migration)</t>
  </si>
  <si>
    <t>Households
(2012 household lists)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</si>
</sst>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1B42-588B-43C5-9148-08D841F620D3}">
  <dimension ref="A1:I31"/>
  <sheetViews>
    <sheetView tabSelected="1" workbookViewId="0">
      <selection activeCell="E34" sqref="E34"/>
    </sheetView>
  </sheetViews>
  <sheetFormatPr baseColWidth="10" defaultRowHeight="15" x14ac:dyDescent="0.25"/>
  <cols>
    <col min="1" max="1" width="15.42578125" customWidth="1"/>
    <col min="2" max="2" width="13.5703125" bestFit="1" customWidth="1"/>
    <col min="3" max="3" width="9.28515625" bestFit="1" customWidth="1"/>
    <col min="4" max="4" width="11.7109375" customWidth="1"/>
    <col min="5" max="5" width="17.85546875" customWidth="1"/>
    <col min="6" max="6" width="14" customWidth="1"/>
    <col min="7" max="7" width="15.140625" bestFit="1" customWidth="1"/>
    <col min="8" max="8" width="13" customWidth="1"/>
    <col min="9" max="9" width="77" bestFit="1" customWidth="1"/>
  </cols>
  <sheetData>
    <row r="1" spans="1:9" ht="45" customHeight="1" x14ac:dyDescent="0.25">
      <c r="A1" s="1" t="s">
        <v>0</v>
      </c>
      <c r="B1" s="1" t="s">
        <v>41</v>
      </c>
      <c r="C1" s="1" t="s">
        <v>42</v>
      </c>
      <c r="D1" s="1" t="s">
        <v>44</v>
      </c>
      <c r="E1" s="1" t="s">
        <v>47</v>
      </c>
      <c r="F1" s="1" t="s">
        <v>40</v>
      </c>
      <c r="G1" s="9" t="s">
        <v>67</v>
      </c>
      <c r="H1" s="1" t="s">
        <v>43</v>
      </c>
      <c r="I1" s="8" t="s">
        <v>62</v>
      </c>
    </row>
    <row r="2" spans="1:9" x14ac:dyDescent="0.25">
      <c r="A2" s="6" t="s">
        <v>1</v>
      </c>
      <c r="B2" s="6" t="s">
        <v>2</v>
      </c>
      <c r="C2" s="2">
        <v>0</v>
      </c>
      <c r="D2" s="2">
        <v>5</v>
      </c>
      <c r="E2" s="2">
        <v>5</v>
      </c>
      <c r="F2" s="2">
        <v>1057</v>
      </c>
      <c r="G2">
        <v>258</v>
      </c>
      <c r="H2" s="3">
        <f>E2/F2</f>
        <v>4.7303689687795648E-3</v>
      </c>
      <c r="I2" t="s">
        <v>54</v>
      </c>
    </row>
    <row r="3" spans="1:9" x14ac:dyDescent="0.25">
      <c r="A3" s="6" t="s">
        <v>3</v>
      </c>
      <c r="B3" s="6" t="s">
        <v>2</v>
      </c>
      <c r="C3" s="2">
        <v>1.54</v>
      </c>
      <c r="D3" s="2">
        <v>13</v>
      </c>
      <c r="E3" s="2">
        <v>22</v>
      </c>
      <c r="F3" s="2">
        <v>729</v>
      </c>
      <c r="G3">
        <v>163</v>
      </c>
      <c r="H3" s="3">
        <f t="shared" ref="H3:H31" si="0">E3/F3</f>
        <v>3.017832647462277E-2</v>
      </c>
      <c r="I3" t="s">
        <v>56</v>
      </c>
    </row>
    <row r="4" spans="1:9" x14ac:dyDescent="0.25">
      <c r="A4" s="6" t="s">
        <v>4</v>
      </c>
      <c r="B4" s="6" t="s">
        <v>5</v>
      </c>
      <c r="C4" s="2">
        <v>6.42</v>
      </c>
      <c r="D4" s="2">
        <v>0</v>
      </c>
      <c r="E4" s="2">
        <v>3</v>
      </c>
      <c r="F4" s="2">
        <v>1144</v>
      </c>
      <c r="G4">
        <v>799</v>
      </c>
      <c r="H4" s="3">
        <f t="shared" si="0"/>
        <v>2.6223776223776225E-3</v>
      </c>
      <c r="I4" t="s">
        <v>61</v>
      </c>
    </row>
    <row r="5" spans="1:9" x14ac:dyDescent="0.25">
      <c r="A5" s="6" t="s">
        <v>6</v>
      </c>
      <c r="B5" s="6" t="s">
        <v>7</v>
      </c>
      <c r="C5" s="2">
        <v>6.88</v>
      </c>
      <c r="D5" s="2">
        <v>0</v>
      </c>
      <c r="E5" s="2">
        <v>0</v>
      </c>
      <c r="F5" s="2">
        <v>1604</v>
      </c>
      <c r="G5">
        <v>333</v>
      </c>
      <c r="H5" s="3">
        <f t="shared" si="0"/>
        <v>0</v>
      </c>
      <c r="I5" t="s">
        <v>45</v>
      </c>
    </row>
    <row r="6" spans="1:9" x14ac:dyDescent="0.25">
      <c r="A6" s="6" t="s">
        <v>8</v>
      </c>
      <c r="B6" s="6" t="s">
        <v>5</v>
      </c>
      <c r="C6" s="2">
        <v>7.83</v>
      </c>
      <c r="D6" s="2">
        <v>0</v>
      </c>
      <c r="E6" s="2">
        <v>13</v>
      </c>
      <c r="F6" s="2">
        <v>1018</v>
      </c>
      <c r="G6">
        <v>263</v>
      </c>
      <c r="H6" s="3">
        <f t="shared" si="0"/>
        <v>1.2770137524557957E-2</v>
      </c>
      <c r="I6" t="s">
        <v>57</v>
      </c>
    </row>
    <row r="7" spans="1:9" x14ac:dyDescent="0.25">
      <c r="A7" s="6" t="s">
        <v>9</v>
      </c>
      <c r="B7" s="6" t="s">
        <v>7</v>
      </c>
      <c r="C7" s="2">
        <v>12.1</v>
      </c>
      <c r="D7" s="2">
        <v>16</v>
      </c>
      <c r="E7" s="2">
        <v>8</v>
      </c>
      <c r="F7" s="2">
        <v>445</v>
      </c>
      <c r="G7">
        <v>88</v>
      </c>
      <c r="H7" s="3">
        <f t="shared" si="0"/>
        <v>1.7977528089887642E-2</v>
      </c>
      <c r="I7" t="s">
        <v>51</v>
      </c>
    </row>
    <row r="8" spans="1:9" x14ac:dyDescent="0.25">
      <c r="A8" s="6" t="s">
        <v>10</v>
      </c>
      <c r="B8" s="6" t="s">
        <v>7</v>
      </c>
      <c r="C8" s="2">
        <v>13.67</v>
      </c>
      <c r="D8" s="2">
        <v>5</v>
      </c>
      <c r="E8" s="2">
        <v>0</v>
      </c>
      <c r="F8" s="2">
        <v>1230</v>
      </c>
      <c r="G8">
        <v>320</v>
      </c>
      <c r="H8" s="3">
        <f t="shared" si="0"/>
        <v>0</v>
      </c>
      <c r="I8" t="s">
        <v>61</v>
      </c>
    </row>
    <row r="9" spans="1:9" x14ac:dyDescent="0.25">
      <c r="A9" s="6" t="s">
        <v>11</v>
      </c>
      <c r="B9" s="6" t="s">
        <v>7</v>
      </c>
      <c r="C9" s="2">
        <v>19.41</v>
      </c>
      <c r="D9" s="2">
        <v>0</v>
      </c>
      <c r="E9" s="2">
        <v>22</v>
      </c>
      <c r="F9" s="2">
        <v>1601</v>
      </c>
      <c r="G9">
        <v>374</v>
      </c>
      <c r="H9" s="3">
        <f t="shared" si="0"/>
        <v>1.3741411617738912E-2</v>
      </c>
      <c r="I9" t="s">
        <v>50</v>
      </c>
    </row>
    <row r="10" spans="1:9" x14ac:dyDescent="0.25">
      <c r="A10" s="6" t="s">
        <v>12</v>
      </c>
      <c r="B10" s="6" t="s">
        <v>7</v>
      </c>
      <c r="C10" s="2">
        <v>20.72</v>
      </c>
      <c r="D10" s="2">
        <v>15</v>
      </c>
      <c r="E10" s="2">
        <v>16</v>
      </c>
      <c r="F10" s="2">
        <v>1648</v>
      </c>
      <c r="G10">
        <v>414</v>
      </c>
      <c r="H10" s="3">
        <f t="shared" si="0"/>
        <v>9.7087378640776691E-3</v>
      </c>
      <c r="I10" t="s">
        <v>46</v>
      </c>
    </row>
    <row r="11" spans="1:9" x14ac:dyDescent="0.25">
      <c r="A11" s="6" t="s">
        <v>13</v>
      </c>
      <c r="B11" s="6" t="s">
        <v>7</v>
      </c>
      <c r="C11" s="2">
        <v>24.37</v>
      </c>
      <c r="D11" s="2">
        <v>0</v>
      </c>
      <c r="E11" s="2">
        <v>0</v>
      </c>
      <c r="F11" s="2">
        <v>317</v>
      </c>
      <c r="G11">
        <v>85</v>
      </c>
      <c r="H11" s="3">
        <f t="shared" si="0"/>
        <v>0</v>
      </c>
      <c r="I11" t="s">
        <v>45</v>
      </c>
    </row>
    <row r="12" spans="1:9" x14ac:dyDescent="0.25">
      <c r="A12" s="6" t="s">
        <v>14</v>
      </c>
      <c r="B12" s="6" t="s">
        <v>15</v>
      </c>
      <c r="C12" s="2">
        <v>27.32</v>
      </c>
      <c r="D12" s="2">
        <v>3</v>
      </c>
      <c r="E12" s="2">
        <v>3</v>
      </c>
      <c r="F12" s="2">
        <v>1081</v>
      </c>
      <c r="G12">
        <v>283</v>
      </c>
      <c r="H12" s="3">
        <f t="shared" si="0"/>
        <v>2.7752081406105457E-3</v>
      </c>
      <c r="I12" t="s">
        <v>54</v>
      </c>
    </row>
    <row r="13" spans="1:9" x14ac:dyDescent="0.25">
      <c r="A13" s="6" t="s">
        <v>16</v>
      </c>
      <c r="B13" s="6" t="s">
        <v>17</v>
      </c>
      <c r="C13" s="2">
        <v>32.86</v>
      </c>
      <c r="D13" s="2">
        <v>0</v>
      </c>
      <c r="E13" s="2">
        <v>0</v>
      </c>
      <c r="F13" s="2">
        <v>1017</v>
      </c>
      <c r="G13">
        <v>192</v>
      </c>
      <c r="H13" s="3">
        <f t="shared" si="0"/>
        <v>0</v>
      </c>
      <c r="I13" t="s">
        <v>48</v>
      </c>
    </row>
    <row r="14" spans="1:9" x14ac:dyDescent="0.25">
      <c r="A14" s="6" t="s">
        <v>18</v>
      </c>
      <c r="B14" s="6" t="s">
        <v>17</v>
      </c>
      <c r="C14" s="2">
        <v>32.909999999999997</v>
      </c>
      <c r="D14" s="2">
        <v>0</v>
      </c>
      <c r="E14" s="2">
        <v>1</v>
      </c>
      <c r="F14" s="2">
        <v>691</v>
      </c>
      <c r="G14">
        <v>245</v>
      </c>
      <c r="H14" s="3">
        <f t="shared" si="0"/>
        <v>1.4471780028943559E-3</v>
      </c>
      <c r="I14" t="s">
        <v>49</v>
      </c>
    </row>
    <row r="15" spans="1:9" x14ac:dyDescent="0.25">
      <c r="A15" s="6" t="s">
        <v>19</v>
      </c>
      <c r="B15" s="6" t="s">
        <v>15</v>
      </c>
      <c r="C15" s="2">
        <v>36.47</v>
      </c>
      <c r="D15" s="2">
        <v>5</v>
      </c>
      <c r="E15" s="2">
        <v>3</v>
      </c>
      <c r="F15" s="2">
        <v>1662</v>
      </c>
      <c r="G15">
        <v>364</v>
      </c>
      <c r="H15" s="3">
        <f t="shared" si="0"/>
        <v>1.8050541516245488E-3</v>
      </c>
      <c r="I15" t="s">
        <v>54</v>
      </c>
    </row>
    <row r="16" spans="1:9" x14ac:dyDescent="0.25">
      <c r="A16" s="6" t="s">
        <v>20</v>
      </c>
      <c r="B16" s="6" t="s">
        <v>21</v>
      </c>
      <c r="C16" s="2">
        <v>61.52</v>
      </c>
      <c r="D16" s="2">
        <v>0</v>
      </c>
      <c r="E16" s="2" t="s">
        <v>52</v>
      </c>
      <c r="F16" s="2">
        <v>1017</v>
      </c>
      <c r="G16">
        <v>390</v>
      </c>
      <c r="H16" s="3" t="s">
        <v>52</v>
      </c>
      <c r="I16" t="s">
        <v>55</v>
      </c>
    </row>
    <row r="17" spans="1:9" x14ac:dyDescent="0.25">
      <c r="A17" s="6" t="s">
        <v>22</v>
      </c>
      <c r="B17" s="6" t="s">
        <v>21</v>
      </c>
      <c r="C17" s="2">
        <v>63.85</v>
      </c>
      <c r="D17" s="2">
        <v>2</v>
      </c>
      <c r="E17" s="2">
        <v>2</v>
      </c>
      <c r="F17" s="2">
        <v>1315</v>
      </c>
      <c r="G17">
        <v>383</v>
      </c>
      <c r="H17" s="3">
        <f t="shared" si="0"/>
        <v>1.520912547528517E-3</v>
      </c>
      <c r="I17" t="s">
        <v>53</v>
      </c>
    </row>
    <row r="18" spans="1:9" x14ac:dyDescent="0.25">
      <c r="A18" s="6" t="s">
        <v>23</v>
      </c>
      <c r="B18" s="6" t="s">
        <v>24</v>
      </c>
      <c r="C18" s="2">
        <v>89.84</v>
      </c>
      <c r="D18" s="2">
        <v>0</v>
      </c>
      <c r="E18" s="2">
        <v>0</v>
      </c>
      <c r="F18" s="2">
        <v>538</v>
      </c>
      <c r="G18">
        <v>269</v>
      </c>
      <c r="H18" s="3">
        <f t="shared" si="0"/>
        <v>0</v>
      </c>
      <c r="I18" t="s">
        <v>59</v>
      </c>
    </row>
    <row r="19" spans="1:9" x14ac:dyDescent="0.25">
      <c r="A19" s="6" t="s">
        <v>25</v>
      </c>
      <c r="B19" s="6" t="s">
        <v>24</v>
      </c>
      <c r="C19" s="2">
        <v>90.21</v>
      </c>
      <c r="D19" s="2">
        <v>1</v>
      </c>
      <c r="E19" s="2">
        <v>1</v>
      </c>
      <c r="F19" s="2">
        <v>327</v>
      </c>
      <c r="G19">
        <v>93</v>
      </c>
      <c r="H19" s="3">
        <f t="shared" si="0"/>
        <v>3.0581039755351682E-3</v>
      </c>
      <c r="I19" t="s">
        <v>60</v>
      </c>
    </row>
    <row r="20" spans="1:9" x14ac:dyDescent="0.25">
      <c r="A20" s="6" t="s">
        <v>26</v>
      </c>
      <c r="B20" s="6" t="s">
        <v>24</v>
      </c>
      <c r="C20" s="2">
        <v>90.4</v>
      </c>
      <c r="D20" s="2">
        <v>2</v>
      </c>
      <c r="E20" s="2">
        <v>5</v>
      </c>
      <c r="F20" s="2">
        <v>830</v>
      </c>
      <c r="G20">
        <v>88</v>
      </c>
      <c r="H20" s="3">
        <f t="shared" si="0"/>
        <v>6.024096385542169E-3</v>
      </c>
      <c r="I20" t="s">
        <v>58</v>
      </c>
    </row>
    <row r="21" spans="1:9" x14ac:dyDescent="0.25">
      <c r="A21" s="6" t="s">
        <v>27</v>
      </c>
      <c r="B21" s="6" t="s">
        <v>24</v>
      </c>
      <c r="C21" s="2">
        <v>90.54</v>
      </c>
      <c r="D21" s="2">
        <v>0</v>
      </c>
      <c r="E21" s="2">
        <v>4</v>
      </c>
      <c r="F21" s="2">
        <v>328</v>
      </c>
      <c r="G21">
        <v>140</v>
      </c>
      <c r="H21" s="3">
        <f t="shared" si="0"/>
        <v>1.2195121951219513E-2</v>
      </c>
      <c r="I21" t="s">
        <v>53</v>
      </c>
    </row>
    <row r="22" spans="1:9" x14ac:dyDescent="0.25">
      <c r="A22" s="6" t="s">
        <v>28</v>
      </c>
      <c r="B22" s="6" t="s">
        <v>24</v>
      </c>
      <c r="C22" s="2">
        <v>90.76</v>
      </c>
      <c r="D22" s="2">
        <v>4</v>
      </c>
      <c r="E22" s="2">
        <v>4</v>
      </c>
      <c r="F22" s="2">
        <v>1028</v>
      </c>
      <c r="G22">
        <v>142</v>
      </c>
      <c r="H22" s="3">
        <f t="shared" si="0"/>
        <v>3.8910505836575876E-3</v>
      </c>
      <c r="I22" t="s">
        <v>58</v>
      </c>
    </row>
    <row r="23" spans="1:9" x14ac:dyDescent="0.25">
      <c r="A23" s="6" t="s">
        <v>29</v>
      </c>
      <c r="B23" s="6" t="s">
        <v>24</v>
      </c>
      <c r="C23" s="2">
        <v>90.89</v>
      </c>
      <c r="D23" s="2">
        <v>18</v>
      </c>
      <c r="E23" s="2">
        <v>18</v>
      </c>
      <c r="F23" s="2">
        <v>539</v>
      </c>
      <c r="G23">
        <v>179</v>
      </c>
      <c r="H23" s="3">
        <f t="shared" si="0"/>
        <v>3.3395176252319109E-2</v>
      </c>
      <c r="I23" t="s">
        <v>53</v>
      </c>
    </row>
    <row r="24" spans="1:9" x14ac:dyDescent="0.25">
      <c r="A24" s="6" t="s">
        <v>30</v>
      </c>
      <c r="B24" s="6" t="s">
        <v>24</v>
      </c>
      <c r="C24" s="2">
        <v>91.01</v>
      </c>
      <c r="D24" s="2">
        <v>0</v>
      </c>
      <c r="E24" s="2" t="s">
        <v>52</v>
      </c>
      <c r="F24" s="2">
        <v>644</v>
      </c>
      <c r="G24">
        <v>241</v>
      </c>
      <c r="H24" s="3" t="s">
        <v>52</v>
      </c>
      <c r="I24" t="s">
        <v>63</v>
      </c>
    </row>
    <row r="25" spans="1:9" x14ac:dyDescent="0.25">
      <c r="A25" s="6" t="s">
        <v>31</v>
      </c>
      <c r="B25" s="6" t="s">
        <v>24</v>
      </c>
      <c r="C25" s="2">
        <v>96.1</v>
      </c>
      <c r="D25" s="2">
        <v>0</v>
      </c>
      <c r="E25" s="2">
        <v>0</v>
      </c>
      <c r="F25" s="2">
        <v>539</v>
      </c>
      <c r="G25">
        <v>143</v>
      </c>
      <c r="H25" s="3">
        <f t="shared" si="0"/>
        <v>0</v>
      </c>
      <c r="I25" t="s">
        <v>66</v>
      </c>
    </row>
    <row r="26" spans="1:9" x14ac:dyDescent="0.25">
      <c r="A26" s="6" t="s">
        <v>32</v>
      </c>
      <c r="B26" s="6" t="s">
        <v>33</v>
      </c>
      <c r="C26" s="2">
        <v>101.36</v>
      </c>
      <c r="D26" s="2">
        <v>0</v>
      </c>
      <c r="E26" s="2" t="s">
        <v>52</v>
      </c>
      <c r="F26" s="2">
        <v>476</v>
      </c>
      <c r="G26">
        <v>128</v>
      </c>
      <c r="H26" s="3" t="s">
        <v>52</v>
      </c>
      <c r="I26" t="s">
        <v>63</v>
      </c>
    </row>
    <row r="27" spans="1:9" x14ac:dyDescent="0.25">
      <c r="A27" s="6" t="s">
        <v>34</v>
      </c>
      <c r="B27" s="6" t="s">
        <v>33</v>
      </c>
      <c r="C27" s="2">
        <v>102.66</v>
      </c>
      <c r="D27" s="2">
        <v>0</v>
      </c>
      <c r="E27" s="2" t="s">
        <v>52</v>
      </c>
      <c r="F27" s="2">
        <v>517</v>
      </c>
      <c r="G27">
        <v>146</v>
      </c>
      <c r="H27" s="3" t="s">
        <v>52</v>
      </c>
      <c r="I27" t="s">
        <v>63</v>
      </c>
    </row>
    <row r="28" spans="1:9" x14ac:dyDescent="0.25">
      <c r="A28" s="6" t="s">
        <v>35</v>
      </c>
      <c r="B28" s="6" t="s">
        <v>36</v>
      </c>
      <c r="C28" s="2">
        <v>103.62</v>
      </c>
      <c r="D28" s="2">
        <v>11</v>
      </c>
      <c r="E28" s="2">
        <v>5</v>
      </c>
      <c r="F28" s="2">
        <v>663</v>
      </c>
      <c r="G28">
        <v>195</v>
      </c>
      <c r="H28" s="3">
        <f t="shared" si="0"/>
        <v>7.5414781297134239E-3</v>
      </c>
      <c r="I28" t="s">
        <v>53</v>
      </c>
    </row>
    <row r="29" spans="1:9" x14ac:dyDescent="0.25">
      <c r="A29" s="6" t="s">
        <v>37</v>
      </c>
      <c r="B29" s="6" t="s">
        <v>36</v>
      </c>
      <c r="C29" s="2">
        <v>105.84</v>
      </c>
      <c r="D29" s="2">
        <v>5</v>
      </c>
      <c r="E29" s="2">
        <v>0</v>
      </c>
      <c r="F29" s="2">
        <v>668</v>
      </c>
      <c r="G29">
        <v>176</v>
      </c>
      <c r="H29" s="3">
        <f t="shared" si="0"/>
        <v>0</v>
      </c>
      <c r="I29" t="s">
        <v>59</v>
      </c>
    </row>
    <row r="30" spans="1:9" x14ac:dyDescent="0.25">
      <c r="A30" s="6" t="s">
        <v>38</v>
      </c>
      <c r="B30" s="6" t="s">
        <v>33</v>
      </c>
      <c r="C30" s="2">
        <v>108.96</v>
      </c>
      <c r="D30" s="2">
        <v>0</v>
      </c>
      <c r="E30" s="2" t="s">
        <v>52</v>
      </c>
      <c r="F30" s="2">
        <v>3382</v>
      </c>
      <c r="G30">
        <v>889</v>
      </c>
      <c r="H30" s="3" t="s">
        <v>52</v>
      </c>
      <c r="I30" t="s">
        <v>64</v>
      </c>
    </row>
    <row r="31" spans="1:9" x14ac:dyDescent="0.25">
      <c r="A31" s="7" t="s">
        <v>39</v>
      </c>
      <c r="B31" s="7" t="s">
        <v>33</v>
      </c>
      <c r="C31" s="4">
        <v>119.07</v>
      </c>
      <c r="D31" s="4">
        <v>2</v>
      </c>
      <c r="E31" s="4">
        <v>9</v>
      </c>
      <c r="F31" s="4">
        <v>2470</v>
      </c>
      <c r="G31" s="10">
        <v>650</v>
      </c>
      <c r="H31" s="5">
        <f t="shared" si="0"/>
        <v>3.6437246963562753E-3</v>
      </c>
      <c r="I31" t="s">
        <v>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Burger</dc:creator>
  <cp:lastModifiedBy>Max Burger</cp:lastModifiedBy>
  <dcterms:created xsi:type="dcterms:W3CDTF">2023-07-06T11:57:35Z</dcterms:created>
  <dcterms:modified xsi:type="dcterms:W3CDTF">2023-07-11T09:38:30Z</dcterms:modified>
</cp:coreProperties>
</file>