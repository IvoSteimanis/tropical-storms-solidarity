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istei\Nextcloud_Ivo\Everything_All_at_Once\Haiyan Paper\replication_package\data\"/>
    </mc:Choice>
  </mc:AlternateContent>
  <xr:revisionPtr revIDLastSave="0" documentId="13_ncr:1_{6548F2D0-D377-4E5E-903A-67C94FE5A609}" xr6:coauthVersionLast="47" xr6:coauthVersionMax="47" xr10:uidLastSave="{00000000-0000-0000-0000-000000000000}"/>
  <bookViews>
    <workbookView xWindow="-120" yWindow="-120" windowWidth="29040" windowHeight="17520" xr2:uid="{8212C7C8-CE47-4066-9B34-7DBDB343C019}"/>
  </bookViews>
  <sheets>
    <sheet name="All studies" sheetId="1" r:id="rId1"/>
    <sheet name="Games" sheetId="2" r:id="rId2"/>
    <sheet name="Surveys" sheetId="3" r:id="rId3"/>
  </sheets>
  <definedNames>
    <definedName name="_xlnm._FilterDatabase" localSheetId="0" hidden="1">'All studies'!$A$3:$BF$50</definedName>
    <definedName name="_xlnm._FilterDatabase" localSheetId="1" hidden="1">Games!$A$1:$BE$29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2" l="1"/>
  <c r="AW2" i="2"/>
  <c r="AX2" i="2"/>
  <c r="AW3" i="2"/>
  <c r="AX3" i="2"/>
  <c r="AW4" i="2"/>
  <c r="AX4" i="2"/>
  <c r="AW12" i="2"/>
  <c r="AX12" i="2"/>
  <c r="AW13" i="2"/>
  <c r="AX13" i="2"/>
  <c r="AW14" i="2"/>
  <c r="AX14" i="2"/>
  <c r="AW15" i="2"/>
  <c r="AX15" i="2"/>
  <c r="AW18" i="2"/>
  <c r="AX18" i="2"/>
  <c r="AW21" i="2"/>
  <c r="AX21" i="2"/>
  <c r="AW22" i="2"/>
  <c r="AX22" i="2"/>
  <c r="AW23" i="2"/>
  <c r="AX23" i="2"/>
  <c r="AU24" i="2"/>
  <c r="AW27" i="2"/>
  <c r="AX27" i="2"/>
  <c r="AW28" i="2"/>
  <c r="AX28" i="2"/>
  <c r="AI28" i="2"/>
  <c r="AH28" i="2"/>
  <c r="AI27" i="2"/>
  <c r="AH27" i="2"/>
  <c r="AA26" i="2"/>
  <c r="Z26" i="2"/>
  <c r="X26" i="2"/>
  <c r="X25" i="2"/>
  <c r="AB25" i="2" s="1"/>
  <c r="AF24" i="2"/>
  <c r="AI23" i="2"/>
  <c r="AH23" i="2"/>
  <c r="AI22" i="2"/>
  <c r="AH22" i="2"/>
  <c r="AI21" i="2"/>
  <c r="AH21" i="2"/>
  <c r="AI18" i="2"/>
  <c r="AH18" i="2"/>
  <c r="AI15" i="2"/>
  <c r="AH15" i="2"/>
  <c r="AI14" i="2"/>
  <c r="AH14" i="2"/>
  <c r="AI13" i="2"/>
  <c r="AH13" i="2"/>
  <c r="AI12" i="2"/>
  <c r="AH12" i="2"/>
  <c r="AA7" i="2"/>
  <c r="Z7" i="2"/>
  <c r="X7" i="2"/>
  <c r="AA5" i="2"/>
  <c r="Z5" i="2"/>
  <c r="X5" i="2"/>
  <c r="AI4" i="2"/>
  <c r="AH4" i="2"/>
  <c r="AI3" i="2"/>
  <c r="AH3" i="2"/>
  <c r="AI2" i="2"/>
  <c r="AH2" i="2"/>
  <c r="AM33" i="1"/>
  <c r="AN33" i="1"/>
  <c r="AS31" i="1"/>
  <c r="AM11" i="1"/>
  <c r="AN11" i="1"/>
  <c r="AK11" i="1"/>
  <c r="AV41" i="1"/>
  <c r="AU41" i="1"/>
  <c r="AV47" i="1"/>
  <c r="AU47" i="1"/>
  <c r="AK38" i="1"/>
  <c r="AV39" i="1"/>
  <c r="AU39" i="1"/>
  <c r="AV49" i="1"/>
  <c r="AU49" i="1"/>
  <c r="AV38" i="1"/>
  <c r="AU38" i="1"/>
  <c r="AK33" i="1"/>
  <c r="AK32" i="1"/>
  <c r="AO32" i="1" s="1"/>
  <c r="AN9" i="1"/>
  <c r="AM9" i="1"/>
  <c r="AK9" i="1"/>
  <c r="AV45" i="1"/>
  <c r="AU45" i="1"/>
  <c r="AV44" i="1"/>
  <c r="AU44" i="1"/>
  <c r="AV42" i="1"/>
  <c r="AU42" i="1"/>
  <c r="AV40" i="1"/>
  <c r="AU40" i="1"/>
  <c r="AV48" i="1"/>
  <c r="AU48" i="1"/>
  <c r="AV19" i="1"/>
  <c r="AU19" i="1"/>
  <c r="AV18" i="1"/>
  <c r="AU18" i="1"/>
  <c r="AV35" i="1"/>
  <c r="AU35" i="1"/>
  <c r="AV34" i="1"/>
  <c r="AU34" i="1"/>
  <c r="AV30" i="1"/>
  <c r="AU30" i="1"/>
  <c r="AV29" i="1"/>
  <c r="AU29" i="1"/>
  <c r="AV28" i="1"/>
  <c r="AU28" i="1"/>
  <c r="AV46" i="1"/>
  <c r="AU46" i="1"/>
  <c r="AV24" i="1"/>
  <c r="AU24" i="1"/>
  <c r="AV21" i="1"/>
  <c r="AU21" i="1"/>
  <c r="AV20" i="1"/>
  <c r="AU20" i="1"/>
  <c r="AV17" i="1"/>
  <c r="AU17" i="1"/>
  <c r="AV16" i="1"/>
  <c r="AU16" i="1"/>
  <c r="AV8" i="1"/>
  <c r="AU8" i="1"/>
  <c r="AV7" i="1"/>
  <c r="AU7" i="1"/>
  <c r="AV6" i="1"/>
  <c r="AU6" i="1"/>
  <c r="AO11" i="1" l="1"/>
  <c r="AO9" i="1"/>
  <c r="AB7" i="2"/>
  <c r="AB5" i="2"/>
  <c r="AB26" i="2"/>
  <c r="AO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tc={1DF8B35C-AAEE-4B91-963B-63B85A21B64A}</author>
    <author>tc={0B71ED78-E5AC-4A64-91F3-658F33C9AAA8}</author>
    <author>tc={C086D640-DFCD-41EF-A1FE-FD6D3D4DCAF4}</author>
    <author>tc={6639B36A-C140-4C08-8153-F84364FC342E}</author>
    <author>tc={59EC2319-AE90-499D-9982-EAEE0018C887}</author>
    <author>tc={81430D35-BE3A-45D0-9962-152219A01003}</author>
    <author>tc={1700282F-8065-4AB1-8764-3EA918CB3C60}</author>
    <author>tc={2868D9FB-9218-4B54-9141-C7860FB9675E}</author>
    <author>tc={A25245F8-335C-464E-9E8E-684CBECC2F66}</author>
    <author>tc={FF0FE002-ABEF-4B3B-A835-47F910194174}</author>
    <author>tc={CC995A77-F30C-485F-ACEF-C510C2D2D28E}</author>
    <author>tc={7CDF0173-1618-4218-8233-0D690DEF0DB7}</author>
    <author>tc={17EFA5AA-73A3-43C9-95C5-2CA7FF28B9E4}</author>
    <author>tc={55A5C9CF-C902-4962-B8D2-E67339FE72F1}</author>
    <author>tc={F4D1EF40-8AB0-45FA-8B2E-F348C5F8B09F}</author>
  </authors>
  <commentList>
    <comment ref="B13" authorId="0" shapeId="0" xr:uid="{1DF8B35C-AAEE-4B91-963B-63B85A21B64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Squared term</t>
      </text>
    </comment>
    <comment ref="L13" authorId="1" shapeId="0" xr:uid="{0B71ED78-E5AC-4A64-91F3-658F33C9AAA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mid of "summer": June/July</t>
      </text>
    </comment>
    <comment ref="L14" authorId="2" shapeId="0" xr:uid="{C086D640-DFCD-41EF-A1FE-FD6D3D4DCAF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mid of "summer": June/July</t>
      </text>
    </comment>
    <comment ref="L15" authorId="3" shapeId="0" xr:uid="{6639B36A-C140-4C08-8153-F84364FC342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mid of "summer": June/July</t>
      </text>
    </comment>
    <comment ref="T20" authorId="4" shapeId="0" xr:uid="{59EC2319-AE90-499D-9982-EAEE0018C8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The authors state that "The money to be sent (s) could be any amount in the range 0 ≤ s ≤ p"; However, mean (median): 2.31 (2) and 2.24 (2) in treatment and control with 0-6000 CLP in steps of 1000 to be divided. Therefore, I assume that the outcome variable (s) is amount of 1,000 Peso Bills sent</t>
      </text>
    </comment>
    <comment ref="B22" authorId="5" shapeId="0" xr:uid="{81430D35-BE3A-45D0-9962-152219A0100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Necessary values non-deducible</t>
      </text>
    </comment>
    <comment ref="B23" authorId="6" shapeId="0" xr:uid="{1700282F-8065-4AB1-8764-3EA918CB3C6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Pro-Sociality towards affected</t>
      </text>
    </comment>
    <comment ref="B26" authorId="7" shapeId="0" xr:uid="{2868D9FB-9218-4B54-9141-C7860FB9675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Necessary values non-deducible</t>
      </text>
    </comment>
    <comment ref="AS31" authorId="8" shapeId="0" xr:uid="{A25245F8-335C-464E-9E8E-684CBECC2F6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Calculated based on given coefficient and confidence intervals</t>
      </text>
    </comment>
    <comment ref="AN32" authorId="9" shapeId="0" xr:uid="{FF0FE002-ABEF-4B3B-A835-47F91019417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"nachbilden" der Daten und testen in Stata...</t>
      </text>
    </comment>
    <comment ref="AS38" authorId="10" shapeId="0" xr:uid="{CC995A77-F30C-485F-ACEF-C510C2D2D28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Z-statistic: 1.793</t>
      </text>
    </comment>
    <comment ref="B43" authorId="11" shapeId="0" xr:uid="{7CDF0173-1618-4218-8233-0D690DEF0DB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Children</t>
      </text>
    </comment>
    <comment ref="B44" authorId="12" shapeId="0" xr:uid="{17EFA5AA-73A3-43C9-95C5-2CA7FF28B9E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SD der Erklärenden (interaction-term) nicht angegeben...</t>
      </text>
    </comment>
    <comment ref="AT49" authorId="13" shapeId="0" xr:uid="{55A5C9CF-C902-4962-B8D2-E67339FE72F1}">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Calculated from degrees of freedom (375) &amp; t-value (2.919)
</t>
      </text>
    </comment>
    <comment ref="AS50" authorId="14" shapeId="0" xr:uid="{F4D1EF40-8AB0-45FA-8B2E-F348C5F8B09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z-score: 4.87 ; how to get SE?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tc={B357ED31-511F-465D-9F84-DFE780926A87}</author>
    <author>tc={3BBCD1B1-B46B-4478-889A-C57A777F0B78}</author>
    <author>tc={9DE9C937-9D96-4519-8D97-1B02C8AFB512}</author>
    <author>tc={A3D65074-556F-4AD6-98FD-86C919A594C8}</author>
    <author>tc={18EF34A4-0667-46A1-A017-EC398711F2B0}</author>
  </authors>
  <commentList>
    <comment ref="F9" authorId="0" shapeId="0" xr:uid="{B357ED31-511F-465D-9F84-DFE780926A87}">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mid of "summer": June/July</t>
      </text>
    </comment>
    <comment ref="F10" authorId="1" shapeId="0" xr:uid="{3BBCD1B1-B46B-4478-889A-C57A777F0B7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mid of "summer": June/July</t>
      </text>
    </comment>
    <comment ref="F11" authorId="2" shapeId="0" xr:uid="{9DE9C937-9D96-4519-8D97-1B02C8AFB51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taking the mid of "summer": June/July</t>
      </text>
    </comment>
    <comment ref="AF24" authorId="3" shapeId="0" xr:uid="{A3D65074-556F-4AD6-98FD-86C919A594C8}">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Calculated based on given coefficient and confidence intervals</t>
      </text>
    </comment>
    <comment ref="AA25" authorId="4" shapeId="0" xr:uid="{18EF34A4-0667-46A1-A017-EC398711F2B0}">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aus "nachbilden" der Daten und testen in Stata...</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tc={54E1112B-F7A9-41B9-9FB4-00B72FD4382E}</author>
    <author>tc={2A8E61A5-4880-459E-98CA-67354E5761B2}</author>
    <author>tc={D33EBDD9-BF3C-4A98-A93C-407203D7C2C9}</author>
    <author>tc={BD74A7CA-19E8-4A5A-9490-C9A34603B7C2}</author>
  </authors>
  <commentList>
    <comment ref="B12" authorId="0" shapeId="0" xr:uid="{54E1112B-F7A9-41B9-9FB4-00B72FD4382E}">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SD der Erklärenden (interaction-term) nicht angegeben...</t>
      </text>
    </comment>
    <comment ref="AI15" authorId="1" shapeId="0" xr:uid="{2A8E61A5-4880-459E-98CA-67354E5761B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Z-statistic: 1.793</t>
      </text>
    </comment>
    <comment ref="AJ16" authorId="2" shapeId="0" xr:uid="{D33EBDD9-BF3C-4A98-A93C-407203D7C2C9}">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Calculated from degrees of freedom (375) &amp; t-value (2.919)
</t>
      </text>
    </comment>
    <comment ref="AI18" authorId="3" shapeId="0" xr:uid="{BD74A7CA-19E8-4A5A-9490-C9A34603B7C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z-score: 4.87 ; how to get SE?</t>
      </text>
    </comment>
  </commentList>
</comments>
</file>

<file path=xl/sharedStrings.xml><?xml version="1.0" encoding="utf-8"?>
<sst xmlns="http://schemas.openxmlformats.org/spreadsheetml/2006/main" count="2440" uniqueCount="704">
  <si>
    <t>Paper Information</t>
  </si>
  <si>
    <t>Data Collection</t>
  </si>
  <si>
    <t>Game / method used</t>
  </si>
  <si>
    <t>Results / Analysis</t>
  </si>
  <si>
    <t>Descriptives</t>
  </si>
  <si>
    <t>Mean tests</t>
  </si>
  <si>
    <t>Regression</t>
  </si>
  <si>
    <t>ID</t>
  </si>
  <si>
    <t>Use</t>
  </si>
  <si>
    <t>Author(s)</t>
  </si>
  <si>
    <t>Year (Pub)</t>
  </si>
  <si>
    <t>Abbreviation</t>
  </si>
  <si>
    <t>Country</t>
  </si>
  <si>
    <t>Country short</t>
  </si>
  <si>
    <t>Disaster</t>
  </si>
  <si>
    <t>Time passed</t>
  </si>
  <si>
    <t>Sample Size</t>
  </si>
  <si>
    <t>Measure</t>
  </si>
  <si>
    <t>Game (detailed)</t>
  </si>
  <si>
    <t>Game</t>
  </si>
  <si>
    <t>Incentivized</t>
  </si>
  <si>
    <t>Item</t>
  </si>
  <si>
    <t>Unit</t>
  </si>
  <si>
    <t>Endowment</t>
  </si>
  <si>
    <t>Maximal sendable amount</t>
  </si>
  <si>
    <t>Max sendable</t>
  </si>
  <si>
    <t>Measurement of affectedness</t>
  </si>
  <si>
    <t>Effect</t>
  </si>
  <si>
    <t>Comparison</t>
  </si>
  <si>
    <t>Comment on results</t>
  </si>
  <si>
    <t>Mean</t>
  </si>
  <si>
    <t>Std</t>
  </si>
  <si>
    <t>Mean Control</t>
  </si>
  <si>
    <t>SD Control</t>
  </si>
  <si>
    <t>N Control</t>
  </si>
  <si>
    <t>Mean Treat</t>
  </si>
  <si>
    <t>SD Treat</t>
  </si>
  <si>
    <t>N Treat</t>
  </si>
  <si>
    <t>test applied</t>
  </si>
  <si>
    <t>p-value</t>
  </si>
  <si>
    <t>Dependant variable</t>
  </si>
  <si>
    <t>Explanatory variable</t>
  </si>
  <si>
    <t>Coefficient</t>
  </si>
  <si>
    <t>SE</t>
  </si>
  <si>
    <t>L-CI (95%)</t>
  </si>
  <si>
    <t>U-CI (95%)</t>
  </si>
  <si>
    <t>Sample size used</t>
  </si>
  <si>
    <t>Spatial comparison (vs. Time-wise)</t>
  </si>
  <si>
    <t>Between Subject 
(vs. Within)</t>
  </si>
  <si>
    <t>Regression type</t>
  </si>
  <si>
    <t>Specification used</t>
  </si>
  <si>
    <t>Controls in regression</t>
  </si>
  <si>
    <t>Comment</t>
  </si>
  <si>
    <r>
      <t>Reason for exclusion</t>
    </r>
    <r>
      <rPr>
        <sz val="11"/>
        <color theme="1"/>
        <rFont val="Calibri Light"/>
        <family val="2"/>
        <scheme val="major"/>
      </rPr>
      <t xml:space="preserve"> (Whenever more than one estimation was done, the one fitting our approach best was chosen: Village level affectedness, specific hazard)</t>
    </r>
  </si>
  <si>
    <t>1</t>
  </si>
  <si>
    <t>Ahsan (2014)</t>
  </si>
  <si>
    <t>A-14</t>
  </si>
  <si>
    <t>Bangladesh</t>
  </si>
  <si>
    <t>BGD</t>
  </si>
  <si>
    <t>May 25/26, 2009 Cyclone Aila 
Coastal cyclonic storm surges</t>
  </si>
  <si>
    <t>Feb-2010</t>
  </si>
  <si>
    <t>9</t>
  </si>
  <si>
    <t>Trust</t>
  </si>
  <si>
    <t>Trust Game</t>
  </si>
  <si>
    <t>Money sent</t>
  </si>
  <si>
    <t>Share of endowment sent</t>
  </si>
  <si>
    <t>200 Taka</t>
  </si>
  <si>
    <t>Not mentioned</t>
  </si>
  <si>
    <t>Affected vs. non-affected</t>
  </si>
  <si>
    <t>Shrimp farmers</t>
  </si>
  <si>
    <t>0.439</t>
  </si>
  <si>
    <t>-</t>
  </si>
  <si>
    <t>0.47</t>
  </si>
  <si>
    <t>0.42</t>
  </si>
  <si>
    <t>?</t>
  </si>
  <si>
    <t>0.251</t>
  </si>
  <si>
    <t>Money (ratio of share) sent by trustor</t>
  </si>
  <si>
    <t>Cyclone: 1 - affected by cyclone, 0 otherwise</t>
  </si>
  <si>
    <t>0.015</t>
  </si>
  <si>
    <t>0.047</t>
  </si>
  <si>
    <t>0.830</t>
  </si>
  <si>
    <t>OLS</t>
  </si>
  <si>
    <t>Table 4</t>
  </si>
  <si>
    <t>Family size, age, gender, education, marrital status, ethnic group, game order</t>
  </si>
  <si>
    <t>Trustworthiness</t>
  </si>
  <si>
    <t>Share of money received send back</t>
  </si>
  <si>
    <t>.</t>
  </si>
  <si>
    <t>0</t>
  </si>
  <si>
    <t>Money (ratio of share) sent by trustee</t>
  </si>
  <si>
    <t>Table 6</t>
  </si>
  <si>
    <t>Becchetti et al. (2017)</t>
  </si>
  <si>
    <t>BCC-17</t>
  </si>
  <si>
    <t>Sri Lanka</t>
  </si>
  <si>
    <t>LKA</t>
  </si>
  <si>
    <t>December 26, 2004-Tsunami</t>
  </si>
  <si>
    <t>Nov-2011</t>
  </si>
  <si>
    <t>33</t>
  </si>
  <si>
    <t>Altruism</t>
  </si>
  <si>
    <t>Dictator Game</t>
  </si>
  <si>
    <t>900 LKR</t>
  </si>
  <si>
    <t>Self-reported: 1 if either house, economic activity, assets, work tools or raw materials damaged, Injury of self and others</t>
  </si>
  <si>
    <t>Damaged (54%) vs. Non-Damaged (46%) [within-village comparison]</t>
  </si>
  <si>
    <t>Clients of microfinance institutions (94% women)</t>
  </si>
  <si>
    <t>0.339</t>
  </si>
  <si>
    <t>0.188</t>
  </si>
  <si>
    <t>0.372</t>
  </si>
  <si>
    <t>0.205</t>
  </si>
  <si>
    <t>0.31</t>
  </si>
  <si>
    <t>0.168</t>
  </si>
  <si>
    <t>Mann-Whitney</t>
  </si>
  <si>
    <t>0.033</t>
  </si>
  <si>
    <t>Giving:  share of the endowment sent</t>
  </si>
  <si>
    <t>Damage: 1 if the respondent reports at least one type of damage</t>
  </si>
  <si>
    <t>Table 4, Col (1)</t>
  </si>
  <si>
    <t>None</t>
  </si>
  <si>
    <t>Cassar et al. (2017)</t>
  </si>
  <si>
    <t>CHK-17</t>
  </si>
  <si>
    <t>Thailand</t>
  </si>
  <si>
    <t>THA</t>
  </si>
  <si>
    <t>June to Aug-2009</t>
  </si>
  <si>
    <t>55</t>
  </si>
  <si>
    <t>Trust Game
(multi-factor: 3)</t>
  </si>
  <si>
    <t>20 Baht notes send</t>
  </si>
  <si>
    <t>10 x 20 Baht notes (200 Baht)</t>
  </si>
  <si>
    <t>200 Baht</t>
  </si>
  <si>
    <t>1) Satellite imagery: Subject living in a village that was hit by the tsunami in December
2) Survey: Suffering financial damage due to tsunami/family members injured or killed by tsunami</t>
  </si>
  <si>
    <t>+</t>
  </si>
  <si>
    <t>Affected (10 villages) vs. Non-Affected (17 villages) on village-level</t>
  </si>
  <si>
    <t>6.21</t>
  </si>
  <si>
    <t>2.228</t>
  </si>
  <si>
    <t>5.662</t>
  </si>
  <si>
    <t>1.992</t>
  </si>
  <si>
    <t>71</t>
  </si>
  <si>
    <t>6.611</t>
  </si>
  <si>
    <t>2.326</t>
  </si>
  <si>
    <t>95</t>
  </si>
  <si>
    <t>two-sided t-test</t>
  </si>
  <si>
    <t>0.006</t>
  </si>
  <si>
    <t>Amount sent</t>
  </si>
  <si>
    <t>Tsunami (hit village): 1 if village was hit by tsunami</t>
  </si>
  <si>
    <t>Ordered logit</t>
  </si>
  <si>
    <t>Table 5, Col (1)</t>
  </si>
  <si>
    <t>Individual damage, Family injured or dead + constant</t>
  </si>
  <si>
    <t>Individual damage</t>
  </si>
  <si>
    <t>Damage (individual)</t>
  </si>
  <si>
    <t>Tsunami hit village, Family injured or dead + constant</t>
  </si>
  <si>
    <t>Here individual damage; village data used instead (as similiar to our study)</t>
  </si>
  <si>
    <t>Table 6, Col (1)</t>
  </si>
  <si>
    <t>Amount received, Individual damage, Family injured or dead + constant</t>
  </si>
  <si>
    <t>Amount received, Tsunami hit village, Family injured or dead + constant</t>
  </si>
  <si>
    <t>Ordered logit; coefficients usable; or rather take mean differences?</t>
  </si>
  <si>
    <t>Castillo and Carter (2011)</t>
  </si>
  <si>
    <t>CC-11</t>
  </si>
  <si>
    <t>Honduras</t>
  </si>
  <si>
    <t>HND</t>
  </si>
  <si>
    <t>October 29-31,1998 Hurricane Mitch</t>
  </si>
  <si>
    <t>Summer  2002</t>
  </si>
  <si>
    <t>44</t>
  </si>
  <si>
    <t>Dictator Game
multi-factor: 3</t>
  </si>
  <si>
    <t>40 Lempiras</t>
  </si>
  <si>
    <t>Monthly precipitation rates</t>
  </si>
  <si>
    <t>Estimation of effect of natural disaster in regression (Precepetation)</t>
  </si>
  <si>
    <t>0.30</t>
  </si>
  <si>
    <t>Rain in Oct 98 / square(Rain in Oct 98)</t>
  </si>
  <si>
    <t>2.640/-0.179</t>
  </si>
  <si>
    <t>0.148/0.139</t>
  </si>
  <si>
    <t>Average monthly rain, Square(Average monthly rain ), Constant</t>
  </si>
  <si>
    <t>Squared effects</t>
  </si>
  <si>
    <t>50 Lempiras</t>
  </si>
  <si>
    <t>inverted-u</t>
  </si>
  <si>
    <t>non-linear relation: lowest cooperation at high and low end</t>
  </si>
  <si>
    <t>0.49</t>
  </si>
  <si>
    <t>0.29</t>
  </si>
  <si>
    <t>3.583/ -0.241</t>
  </si>
  <si>
    <t>0.008/0.009</t>
  </si>
  <si>
    <t>Amount sent back</t>
  </si>
  <si>
    <t>3.250 / - 0.241</t>
  </si>
  <si>
    <t>0.004 / 0.004</t>
  </si>
  <si>
    <t>Chantarat et al. (2019)</t>
  </si>
  <si>
    <t>2019</t>
  </si>
  <si>
    <t>COS-19</t>
  </si>
  <si>
    <t>Cambodia</t>
  </si>
  <si>
    <t>KHM</t>
  </si>
  <si>
    <t>August 2011 Mega flood</t>
  </si>
  <si>
    <t>April-2014</t>
  </si>
  <si>
    <t>32</t>
  </si>
  <si>
    <t>Dictator Game
 (hypothetical)</t>
  </si>
  <si>
    <t>10 x USD 5 (hypothetical!)</t>
  </si>
  <si>
    <t>USD 50</t>
  </si>
  <si>
    <t>1) Satellite imagery: Village-level flood exposure (binary) indicating whether hh was in a flooded village in 2011
2) Survey: Rice fields of the household flooded for mroe than 15 days (binary)
3) Survey: Number of days rice field flooded (ordinal)</t>
  </si>
  <si>
    <t>Living in village affected by flood (no effect)</t>
  </si>
  <si>
    <t>Hypothetical percent of money sent</t>
  </si>
  <si>
    <t>Table 7, Col (1)</t>
  </si>
  <si>
    <t>Interactoin-term flood*given to victim,; flood*flood prone; given to flood victim, flood prone, female, age, eduaction, HH size, LN asset per capita, shocks in 10 years</t>
  </si>
  <si>
    <t>Household self affected by flood (positive effect)</t>
  </si>
  <si>
    <t>Household flooded</t>
  </si>
  <si>
    <t>Table 7, Col (2)</t>
  </si>
  <si>
    <t>Survey</t>
  </si>
  <si>
    <t>General Trust</t>
  </si>
  <si>
    <t>Liekert-Scale</t>
  </si>
  <si>
    <t>How much do you feel you can trust the people in each of the following groups? (1) people in your family; (2) people in your village/neighborhood; (3) business owner/traders you buy things from or do business with; and (4) village/local</t>
  </si>
  <si>
    <t xml:space="preserve">Binary trust measure: Neighbor </t>
  </si>
  <si>
    <t>&gt;.1</t>
  </si>
  <si>
    <t>Probit</t>
  </si>
  <si>
    <t>Table 8, cols(1)</t>
  </si>
  <si>
    <t>Binary trust measure</t>
  </si>
  <si>
    <t>p&lt;.01</t>
  </si>
  <si>
    <t>Table 8, cols(4)</t>
  </si>
  <si>
    <t>Fleming et al. (2014)</t>
  </si>
  <si>
    <t>2014</t>
  </si>
  <si>
    <t>FCB-14</t>
  </si>
  <si>
    <t>Chile</t>
  </si>
  <si>
    <t>CHL</t>
  </si>
  <si>
    <t>27 Feb 2010 - Chilean Earthquake</t>
  </si>
  <si>
    <t>Mar-May 2011 (take April)</t>
  </si>
  <si>
    <t>14</t>
  </si>
  <si>
    <t>1000 CLP notes sent</t>
  </si>
  <si>
    <t>6 x 1000 CLP notes (6000 CLP)</t>
  </si>
  <si>
    <t>6000 CLP</t>
  </si>
  <si>
    <t>Village level; Villages wih 150-350 people, 50-150 km from regional capital city, and west of Pan-American highway; three inland, two coastal from one of the two most affected areas of Chile; Matching Control villages</t>
  </si>
  <si>
    <t xml:space="preserve">Affected (5 villages) vs. Non-Affected (5 villages) </t>
  </si>
  <si>
    <t>2.24</t>
  </si>
  <si>
    <t>1.25</t>
  </si>
  <si>
    <t>59</t>
  </si>
  <si>
    <t>2.31</t>
  </si>
  <si>
    <t>1.56</t>
  </si>
  <si>
    <t>61</t>
  </si>
  <si>
    <t>0.00</t>
  </si>
  <si>
    <t>Earthquake area: 1 if yes, 0 otherwise</t>
  </si>
  <si>
    <t>Table 2</t>
  </si>
  <si>
    <t>Constant, Gender, Marital status, Religion, age, education, income, trust</t>
  </si>
  <si>
    <t>Share of money sent back</t>
  </si>
  <si>
    <t>Rao et al. (2011)</t>
  </si>
  <si>
    <t>RHR-11</t>
  </si>
  <si>
    <t>China</t>
  </si>
  <si>
    <t>CHN</t>
  </si>
  <si>
    <t>12 May 2008 - Earthquake</t>
  </si>
  <si>
    <t>1st wave: June-July 2008
2nd wave: Sep-Oct 2008
3rd wave: April-May 2009</t>
  </si>
  <si>
    <t>2
5
12</t>
  </si>
  <si>
    <t>2447 
2894
3128</t>
  </si>
  <si>
    <t>Yen</t>
  </si>
  <si>
    <t>100 Yen (hypothetical)</t>
  </si>
  <si>
    <t>Spatial: Non-devestated, slightly devestated, moderately devestated, extremely evastated
Temporal: Different waves; however, only some participated in more than one wave</t>
  </si>
  <si>
    <t>Level of devestation</t>
  </si>
  <si>
    <t>Effects decrease over time but differences between levels of devestation stay significant [effects not clearly described]</t>
  </si>
  <si>
    <t>ANOVA analysis; is it possible to deduce from the values the necessary figures?</t>
  </si>
  <si>
    <t>Necessary values (coefficient and SE) not deduced from ANOVA</t>
  </si>
  <si>
    <t>Sawada and Kuroishi (2015)</t>
  </si>
  <si>
    <t>SK-15</t>
  </si>
  <si>
    <t>Philippines</t>
  </si>
  <si>
    <t>PHL</t>
  </si>
  <si>
    <t>August 2012 Floods</t>
  </si>
  <si>
    <t>20 March - 24 March 2014</t>
  </si>
  <si>
    <t>100 PhP notes sent</t>
  </si>
  <si>
    <t>10 x 100 PhP notes (1000 PhP)</t>
  </si>
  <si>
    <t>1000 PhP</t>
  </si>
  <si>
    <t>Sent to people affected by natural disaster</t>
  </si>
  <si>
    <t>Yolanda and Earthquake +
Affected flood own village 0</t>
  </si>
  <si>
    <t>Sending to somebody affected</t>
  </si>
  <si>
    <r>
      <t xml:space="preserve">Pro-Sociality </t>
    </r>
    <r>
      <rPr>
        <b/>
        <sz val="11"/>
        <color theme="1"/>
        <rFont val="Calibri Light"/>
        <family val="2"/>
        <scheme val="major"/>
      </rPr>
      <t xml:space="preserve">towards </t>
    </r>
    <r>
      <rPr>
        <sz val="11"/>
        <color theme="1"/>
        <rFont val="Calibri Light"/>
        <family val="2"/>
        <scheme val="major"/>
      </rPr>
      <t>afffected</t>
    </r>
  </si>
  <si>
    <t>Afzal et al. (2015)</t>
  </si>
  <si>
    <t>ATS-15</t>
  </si>
  <si>
    <t>Pakistan</t>
  </si>
  <si>
    <t>PAK</t>
  </si>
  <si>
    <t>July 2010 Flood</t>
  </si>
  <si>
    <t>April 2013</t>
  </si>
  <si>
    <t>Social capital</t>
  </si>
  <si>
    <t>Public Good Game
(multi-factor: 2)</t>
  </si>
  <si>
    <t>Public Good Game</t>
  </si>
  <si>
    <t>Amount sent (all rounds)</t>
  </si>
  <si>
    <t>100 PKR</t>
  </si>
  <si>
    <t>Official Data: PBOS Survey of randomly selected households asking whether they suffered damage by flood; if all HH in one cluster said yes, the cluster was classified as flood-affected; otherwise non-flood-affected. (used for selection of villages)
Survey Data: Asking participants whether they suffered damage; received flood assistance
KII (Village leader): Interview on migration (to erase this as a possible explanation</t>
  </si>
  <si>
    <t>Living in flood-affected village: 0
Number of floods experienced: +
Number of floods x experienced 2010 flood: -
experienced only 2010 flood: +</t>
  </si>
  <si>
    <t>Affected vs. Non-Affected</t>
  </si>
  <si>
    <t>Contribution</t>
  </si>
  <si>
    <t>Has only experienced the 2010 floods</t>
  </si>
  <si>
    <t>Table 3, col (5)</t>
  </si>
  <si>
    <t>Age, Gender, income, savings, living in flood cluster, living in flood cluster*experienced floods, experienced floods,  2 district vars, village flood propensity score, Round 2, Round 3, Constant</t>
  </si>
  <si>
    <t>52.13</t>
  </si>
  <si>
    <t>32.40</t>
  </si>
  <si>
    <t>Number of floods experienced / Number of floods * experienced 2010 Flood / Only experienced 2010 Flood</t>
  </si>
  <si>
    <t xml:space="preserve">9.963 / -6.165 / 17.248 </t>
  </si>
  <si>
    <t>3.026 / 2.381 / 3.765</t>
  </si>
  <si>
    <t>Table 3, col (6)</t>
  </si>
  <si>
    <t>Age, Gender, income, savings, number of floods, experienced floods, living in flood cluster*experienced floods, 2 district vars, village flood propensity score, Round 2, Round 3, Constant</t>
  </si>
  <si>
    <t>Here, measure of general experience with floods; above experience of specific flood (more comparable to our case)</t>
  </si>
  <si>
    <t>Conzo (2018)</t>
  </si>
  <si>
    <t>C-18</t>
  </si>
  <si>
    <t>November 2011</t>
  </si>
  <si>
    <t>Trust/cheating</t>
  </si>
  <si>
    <t>300 LKR</t>
  </si>
  <si>
    <t>Survey: Injury to participant and/or family members; Damage of materials</t>
  </si>
  <si>
    <t>treatment itself: -
treatment * memory: +</t>
  </si>
  <si>
    <t>Treatment vs. Control (Priming: seeing video of tsunami before/after playing the games)</t>
  </si>
  <si>
    <t>Same data collection as Becchetti et al. (2018)
Binary variable for non-cheating / playing less demanding trustor being 1 if trustor sends same or more than s/he would want to receive in order not to feel cheated on</t>
  </si>
  <si>
    <t>112.07</t>
  </si>
  <si>
    <t>55.093</t>
  </si>
  <si>
    <t>109.79</t>
  </si>
  <si>
    <t>50.847</t>
  </si>
  <si>
    <t>114.38</t>
  </si>
  <si>
    <t>59.255</t>
  </si>
  <si>
    <t>ANOVA</t>
  </si>
  <si>
    <t>Kang and Skidmore (2018)</t>
  </si>
  <si>
    <t>KS-18</t>
  </si>
  <si>
    <t>South Kroea</t>
  </si>
  <si>
    <t>KOR</t>
  </si>
  <si>
    <t>Typhoons, heavy rain, heyvy snow and strong winds and waves</t>
  </si>
  <si>
    <t>2014, 2015, 2016</t>
  </si>
  <si>
    <t>Trust (Social Trust)</t>
  </si>
  <si>
    <t>“In general, do you think that most people can be trusted, or that you can’t be too careful in dealing with people?”</t>
  </si>
  <si>
    <t>1 very unreliable; 5 very reliable</t>
  </si>
  <si>
    <t>Cumulative damage costs; Damage costs per disaster</t>
  </si>
  <si>
    <t xml:space="preserve">+ (-, typh) 
</t>
  </si>
  <si>
    <t>OLS: Level of exposure (spatial data, not individual)</t>
  </si>
  <si>
    <t>Positive for rain, snow, winds and waves;
Negative for typhoon</t>
  </si>
  <si>
    <t>0.149</t>
  </si>
  <si>
    <t>0.042</t>
  </si>
  <si>
    <t>Fixed Effects Estimation; Income, Housing Value, Ratio of young to old, Population, Financially indepenent rate, year dummies</t>
  </si>
  <si>
    <t>HISTOGRAM / Correlation</t>
  </si>
  <si>
    <t>WHY NOT INCLUDED?</t>
  </si>
  <si>
    <t>Kuroishi and Sawada (2019)</t>
  </si>
  <si>
    <t>KS-19</t>
  </si>
  <si>
    <t>First Wave: March 20-24 2014 (n=158)</t>
  </si>
  <si>
    <t>(1) Satellite imagery: binary variable
(2) Survey: binary, 1 if the household suffered at least one form of damage (home, farm, asset, income, debt, injury)</t>
  </si>
  <si>
    <t>Amount sent in dictator game</t>
  </si>
  <si>
    <t>Table 3, col(1)</t>
  </si>
  <si>
    <t>Dictator game decision (yolanda, earthquake, someone in the Philippines), constant</t>
  </si>
  <si>
    <t>Second Wave: March 3-8 2018 (n=141)</t>
  </si>
  <si>
    <t>Table 4, col(1)</t>
  </si>
  <si>
    <t>Abatayo and Lynham (2020)</t>
  </si>
  <si>
    <t>2020</t>
  </si>
  <si>
    <t>AL-20</t>
  </si>
  <si>
    <t>December 2012 Typhoon Bopha</t>
  </si>
  <si>
    <t>July 9-11 2014</t>
  </si>
  <si>
    <t>100</t>
  </si>
  <si>
    <t>Fairness</t>
  </si>
  <si>
    <t>Ultimatum</t>
  </si>
  <si>
    <t>Ultimatum Game</t>
  </si>
  <si>
    <t>100 PhP</t>
  </si>
  <si>
    <t>100 PHP</t>
  </si>
  <si>
    <t>Not entirely clear; but probably geo/official data; split into affected vs non-affected areas</t>
  </si>
  <si>
    <t>Affected vs. non-affected villages</t>
  </si>
  <si>
    <t>All but four offers were accepted</t>
  </si>
  <si>
    <t>43.32</t>
  </si>
  <si>
    <t>21.0794</t>
  </si>
  <si>
    <t>43.696</t>
  </si>
  <si>
    <t>24.82</t>
  </si>
  <si>
    <t>46</t>
  </si>
  <si>
    <t>43</t>
  </si>
  <si>
    <t>17.513</t>
  </si>
  <si>
    <t>54</t>
  </si>
  <si>
    <t>Amount sent in ultimatum game</t>
  </si>
  <si>
    <t>Not sure</t>
  </si>
  <si>
    <t>-4.9718</t>
  </si>
  <si>
    <t>9.7702</t>
  </si>
  <si>
    <t>Gender, Income, Age, Education, Marital Status, illiterate, constant</t>
  </si>
  <si>
    <t>VA-19</t>
  </si>
  <si>
    <t>Vanuatu</t>
  </si>
  <si>
    <t>VUT</t>
  </si>
  <si>
    <t xml:space="preserve"> 2015 Cyclone Pam</t>
  </si>
  <si>
    <t>Before: June 2014
After: June 2015</t>
  </si>
  <si>
    <t>10 tokens</t>
  </si>
  <si>
    <t>Damage to property</t>
  </si>
  <si>
    <t>Wilcoxon ranksum</t>
  </si>
  <si>
    <t>Amount sent in dictator to the other in comparison to self</t>
  </si>
  <si>
    <t>Tobit</t>
  </si>
  <si>
    <t>Table 1, col(1)</t>
  </si>
  <si>
    <t>Cyclone affectedness (4), Site</t>
  </si>
  <si>
    <t>Veszteg et al. (2015)</t>
  </si>
  <si>
    <t>VFT-15</t>
  </si>
  <si>
    <t>Japan</t>
  </si>
  <si>
    <t>JPN</t>
  </si>
  <si>
    <t>March 11 2011, Tōhoku earthquake and tsunami</t>
  </si>
  <si>
    <t>2nd week of March 2011 ("during")
3/4 before; 1/4 after</t>
  </si>
  <si>
    <t>Trust Game
(multi-factor: 4)</t>
  </si>
  <si>
    <t>Money sent (hypothetical)</t>
  </si>
  <si>
    <t>Share sending some endowment</t>
  </si>
  <si>
    <t>500 Yen</t>
  </si>
  <si>
    <t>All or nothing</t>
  </si>
  <si>
    <t>Before/After</t>
  </si>
  <si>
    <t>43.1</t>
  </si>
  <si>
    <t>0.50</t>
  </si>
  <si>
    <t>t-test</t>
  </si>
  <si>
    <t>0.743</t>
  </si>
  <si>
    <t>Regression / Not so clear; Some within- others betwee-subject</t>
  </si>
  <si>
    <t>Money sent back (hypothetical)</t>
  </si>
  <si>
    <t>Share sending something back</t>
  </si>
  <si>
    <t>2000 Yen</t>
  </si>
  <si>
    <t>Keep all, send 1000 Yen</t>
  </si>
  <si>
    <t>Fiala (2018)</t>
  </si>
  <si>
    <t xml:space="preserve">October 2013 Flooding </t>
  </si>
  <si>
    <t xml:space="preserve"> Sep-2014</t>
  </si>
  <si>
    <t>6000 Riel</t>
  </si>
  <si>
    <t>Affectedness: 1 if household was affected by flood and 0 otherwise</t>
  </si>
  <si>
    <t>Affected vs. Non-affected area</t>
  </si>
  <si>
    <t>0.24</t>
  </si>
  <si>
    <t>Share sent in trust game</t>
  </si>
  <si>
    <t>Affected</t>
  </si>
  <si>
    <t>-0.179</t>
  </si>
  <si>
    <t>0.103</t>
  </si>
  <si>
    <t>Table 3.10, col (5)</t>
  </si>
  <si>
    <t>Age, Age squared, Gender, Married state, financial literacy, no of people in HH, No of people below 15 in HH, Income, Risk game, Risk game*affected. Share bet in risk game</t>
  </si>
  <si>
    <t>Money sent back</t>
  </si>
  <si>
    <t>Share returned in trust game</t>
  </si>
  <si>
    <t>Table 3.10, col (7)</t>
  </si>
  <si>
    <t>Age, Age squared, Gender, Married state, financial literacy, no of people in HH, No of people below 15 in HH, Income, Risk game, Risk game*affected, share sent in trust game</t>
  </si>
  <si>
    <t>Andrabi and Das (2017)</t>
  </si>
  <si>
    <t>AD-17</t>
  </si>
  <si>
    <t>8 October 2005 Earthquake</t>
  </si>
  <si>
    <t>between June 2009 and March 2010</t>
  </si>
  <si>
    <t>Trustworthiness of others</t>
  </si>
  <si>
    <t>Likelihood of others to be trustworthy</t>
  </si>
  <si>
    <r>
      <t xml:space="preserve">Imagine you are walking down a street and dropped a Rs.1000 note without noticing. [Name] was walking behind you without you knowing and picked it up. Would they return the money to you?’’ with [Name] being either (a) people in general; (b) your extended family; (c) people in your village; (d) people in your qaum/caste/clan/biradari (qaum translates roughly as clan and biradari as the kinship group); (e) people in your region; (f) other Pakistanis; (g) general foreigners; (h) Europeans/Americans; and (i) Islamic foreigners =&gt; summarized to foreigners in general; Westeners; </t>
    </r>
    <r>
      <rPr>
        <b/>
        <sz val="11"/>
        <color theme="1"/>
        <rFont val="Calibri Light"/>
        <family val="2"/>
        <scheme val="major"/>
      </rPr>
      <t>Own region</t>
    </r>
  </si>
  <si>
    <t>Binary response</t>
  </si>
  <si>
    <t>Spatial: linear distance to the fault-line and the distance to the epicenter using each household’s GPS location
supplemented with data on the average and maximum slope of the Union Council</t>
  </si>
  <si>
    <t>Distance to fault line (km)</t>
  </si>
  <si>
    <t>Trust in people from own region</t>
  </si>
  <si>
    <t>Distance to fault line</t>
  </si>
  <si>
    <t>Table 3, col(3)</t>
  </si>
  <si>
    <t>November 2013 Typhoon Haiyan</t>
  </si>
  <si>
    <t>October/November 2013</t>
  </si>
  <si>
    <t>7point liekert scale; 8-items</t>
  </si>
  <si>
    <t>PCA score</t>
  </si>
  <si>
    <t>Before vs After</t>
  </si>
  <si>
    <t>Trust-PCA</t>
  </si>
  <si>
    <t>Before vs. After</t>
  </si>
  <si>
    <t>-0.115</t>
  </si>
  <si>
    <t>Rahman et al. (2020)</t>
  </si>
  <si>
    <t>RLS-20</t>
  </si>
  <si>
    <t>1998 flood in Bangladesh</t>
  </si>
  <si>
    <t>WVS / Survey Question</t>
  </si>
  <si>
    <t>Binary; no/yes</t>
  </si>
  <si>
    <t>Generally speaking, would you say that most people can be trusted or that you can’t be too careful in dealing with people?
Can't be too careful / most people can be trusted</t>
  </si>
  <si>
    <t>Before vs. After &amp; Affectedness: indicator that takes the value of 1 if the district of a division experienced any inundation during the flooding event, and 0 otherwise</t>
  </si>
  <si>
    <t>Generalized trust</t>
  </si>
  <si>
    <t>Flood dummy * post-flood year dummy</t>
  </si>
  <si>
    <t>Table 1, col(3)</t>
  </si>
  <si>
    <t>Ahmad and Younas (2021)</t>
  </si>
  <si>
    <t>AY-21</t>
  </si>
  <si>
    <t>2011 Floods in Pakistan</t>
  </si>
  <si>
    <t>23-36</t>
  </si>
  <si>
    <t>Likert</t>
  </si>
  <si>
    <t>Presume you are walking down the street and you drop a 100 rupee note. How likely is that the following people would return the money to you? four categories from very likely to will not happen; family, neighbor, Pakistani, foreigner</t>
  </si>
  <si>
    <t>Affected vs. non-affected: % of people affected in a given area; deduced from satelite imagery</t>
  </si>
  <si>
    <t>Affected vs. unaffected (%affected)</t>
  </si>
  <si>
    <t>Trust in neighbor</t>
  </si>
  <si>
    <t>% of people affected</t>
  </si>
  <si>
    <t>Table 5, col(1)</t>
  </si>
  <si>
    <t>Not quite sure whether they use log of trust or just trust in this case</t>
  </si>
  <si>
    <t>Bai and Li (2021)</t>
  </si>
  <si>
    <t>BL-21</t>
  </si>
  <si>
    <t>Indonesia</t>
  </si>
  <si>
    <t>IDN</t>
  </si>
  <si>
    <t>Six major earthquakes between 2004-2007</t>
  </si>
  <si>
    <t>Volunteering</t>
  </si>
  <si>
    <t>binary: no/yes</t>
  </si>
  <si>
    <t>During the last 12 months, did you participate in voluntary labor (e.g., cleaning up the village)?</t>
  </si>
  <si>
    <t>Before vs. After &amp; Affected vs. non-affected: districts classified as affected by earthquakes or not (US Geological Survey)</t>
  </si>
  <si>
    <t>+ / inverted-u</t>
  </si>
  <si>
    <t>Analysis conducted with and without quadratic term</t>
  </si>
  <si>
    <t>Volunteering (yes/no)</t>
  </si>
  <si>
    <t>Earthquake dummy * post-earthquakes year dummy</t>
  </si>
  <si>
    <t>Calo-Blanco et al. (2017)</t>
  </si>
  <si>
    <t>CKM-17</t>
  </si>
  <si>
    <r>
      <rPr>
        <b/>
        <sz val="11"/>
        <color theme="1"/>
        <rFont val="Calibri Light"/>
        <family val="2"/>
        <scheme val="major"/>
      </rPr>
      <t>Combination of secondary data</t>
    </r>
    <r>
      <rPr>
        <sz val="11"/>
        <color theme="1"/>
        <rFont val="Calibri Light"/>
        <family val="2"/>
        <scheme val="major"/>
      </rPr>
      <t xml:space="preserve">
Trust: Latinobarometro (6 months after EQ)
Exposure: Official information</t>
    </r>
  </si>
  <si>
    <t>Binary: No/Yes</t>
  </si>
  <si>
    <t>General Trust: Generally speaking, would you say that you can trust most people, or that you can never be too careful when dealing with others? Most people can be trusted/Can't be too carefull</t>
  </si>
  <si>
    <t>Affected if comuna (i) identified by the seismological service as a comuna hit by the 2010 Maule earthquake (Mercalli scale&gt;VI ), (ii) it suffered at least one fatal victim, or (iii) it asked for economic aid</t>
  </si>
  <si>
    <t>Diff-in-Diff: (After-Before)Aff vs. (After-Before)UnAff</t>
  </si>
  <si>
    <t>Data on trust have been averaged on the comuna level (subject of analysis is the comuna; 98 comunas)</t>
  </si>
  <si>
    <t>Trust (averaged on comuna-level)</t>
  </si>
  <si>
    <t>Earthquake-dummy * post-earthquake year dummy</t>
  </si>
  <si>
    <t>Table 3, col(2)</t>
  </si>
  <si>
    <t>lagged Gini coefficient, migration rate, (log of) income, poverty, gender ratio and year dummies</t>
  </si>
  <si>
    <t>Dussaillant and Guzman (2014)</t>
  </si>
  <si>
    <t>DG-14</t>
  </si>
  <si>
    <r>
      <rPr>
        <b/>
        <sz val="11"/>
        <color theme="1"/>
        <rFont val="Calibri Light"/>
        <family val="2"/>
        <scheme val="major"/>
      </rPr>
      <t>Secondary data</t>
    </r>
    <r>
      <rPr>
        <sz val="11"/>
        <color theme="1"/>
        <rFont val="Calibri Light"/>
        <family val="2"/>
        <scheme val="major"/>
      </rPr>
      <t xml:space="preserve">
Trust: The Social Capital Survey May-July 2010 (n=1,621); The National Social Stratification Survey (n=6153)
Exposure (damage to HH): Encuesta Post Terremoto (22,456)</t>
    </r>
  </si>
  <si>
    <t>Generally speaking, would you say that it is possible to trust most people or, on the contrary, that we can never be too cautious in our dealings with other people? 
1. It is possible to trust most people; 2. We can never be too cautious in our dealings with other people.</t>
  </si>
  <si>
    <t>Share of households reporting damage (0-1)</t>
  </si>
  <si>
    <t>Affected vs Unaffected (%affected)</t>
  </si>
  <si>
    <t>Controlling for trust in province before EQ (2009 data)</t>
  </si>
  <si>
    <t>% of people affected in province</t>
  </si>
  <si>
    <t>PROBIT</t>
  </si>
  <si>
    <t>Table 3, col(6)</t>
  </si>
  <si>
    <t>sex, age, income and the level of education</t>
  </si>
  <si>
    <t>Probit-regression; no very convincing analysis</t>
  </si>
  <si>
    <t>Li et al. (2019)</t>
  </si>
  <si>
    <t>LLD-13</t>
  </si>
  <si>
    <t>Data collected before (n=60), one month after (n=60), three years after (n=60) earthquake)</t>
  </si>
  <si>
    <t>1; 36</t>
  </si>
  <si>
    <t>Dictator Game (Sticker, children)</t>
  </si>
  <si>
    <t>Stickers given to ranodm classmate</t>
  </si>
  <si>
    <t>Stickers sent</t>
  </si>
  <si>
    <t>10 self-chosen stickers</t>
  </si>
  <si>
    <t>10 Stickers</t>
  </si>
  <si>
    <t>Before vs. After: no regression, only (t-tests); reported in a way making it difficult to deduce values</t>
  </si>
  <si>
    <t>0 for 6 year olds; + for 9 year olds</t>
  </si>
  <si>
    <t>Before vs. After; ANOVA</t>
  </si>
  <si>
    <t>ANOVA analysis, Children, small sample</t>
  </si>
  <si>
    <t xml:space="preserve">Maki et al. (2019) </t>
  </si>
  <si>
    <t>MDB-19</t>
  </si>
  <si>
    <t>Before earthqauke: 3 July to 24 August 2009 (n=644, only Santiago)
After earthqauke: 4 September to 6 October 2010  (n=1,389, six cities)</t>
  </si>
  <si>
    <t>Prosociality</t>
  </si>
  <si>
    <t>Prosocial behavior: 5 point likert scale, 5item</t>
  </si>
  <si>
    <t>Index across items</t>
  </si>
  <si>
    <t>Prosocial behavior</t>
  </si>
  <si>
    <t>before vs. after</t>
  </si>
  <si>
    <t>Results reported in a way making it difficult to deduce necessary values</t>
  </si>
  <si>
    <t>Shupp et al (2017)</t>
  </si>
  <si>
    <t>SLS-17</t>
  </si>
  <si>
    <t>USA</t>
  </si>
  <si>
    <t>2013 - Tornado</t>
  </si>
  <si>
    <t>Mail and online methods, about 3.5 months after Tornado</t>
  </si>
  <si>
    <t>Likert: 1 to 5</t>
  </si>
  <si>
    <t>General Trust: In general, you can trust people. Strongly disagree (1) - Strongly agree (5)</t>
  </si>
  <si>
    <t>Affectedness: 1 if household was affected by typhoon and 0 otherwise</t>
  </si>
  <si>
    <t>Logit-Regression</t>
  </si>
  <si>
    <t>Mann–Whitney–Wilcoxon</t>
  </si>
  <si>
    <t>&lt;.05</t>
  </si>
  <si>
    <t>&lt;0.1</t>
  </si>
  <si>
    <t>Ordered Logit</t>
  </si>
  <si>
    <t>Age Female Married White Voter HouseOwn Education Income_2012</t>
  </si>
  <si>
    <t>Trotz ordered logit nur ein Koeffizient?</t>
  </si>
  <si>
    <t>Toya and Skidmore (2014)</t>
  </si>
  <si>
    <t>TS-14</t>
  </si>
  <si>
    <t>World</t>
  </si>
  <si>
    <t>WORLD</t>
  </si>
  <si>
    <t>Storms, Floods, Earthquakes, Mass movenets, Volcanic Erruptions from  1985 to 2004 in 146 countries</t>
  </si>
  <si>
    <t>Binary: No/Yes -&gt; share in country trusting</t>
  </si>
  <si>
    <t>General Trust: In general, you can trust people. Yes/No (share in country trusting)</t>
  </si>
  <si>
    <t>Logarithmized number of hazards in last 5 years
Logarithmized number of specific hazards in last 5 years</t>
  </si>
  <si>
    <t>First difference regression: Diff in trust on Diff in hazards</t>
  </si>
  <si>
    <t>Trust (averaged on country-level)</t>
  </si>
  <si>
    <t>Ln(1 + Number of Total Disasters)t−1</t>
  </si>
  <si>
    <t>Time indicator variables for each of the 5 year periods and country indicator variables</t>
  </si>
  <si>
    <t>Über mehrere Länder hinweg, passt nicht gut zu anderen Studien</t>
  </si>
  <si>
    <t>Usamie et al. (2014)</t>
  </si>
  <si>
    <t>UIW-14</t>
  </si>
  <si>
    <t xml:space="preserve"> 2011 Japan tsunami</t>
  </si>
  <si>
    <t>After Earthquake: November 2012 (20 months after the disaster) and September 2013 (30 months after the disaster)</t>
  </si>
  <si>
    <t>20; 30</t>
  </si>
  <si>
    <t>Evaluation of children by parents &amp; teacher: 3 point likert, 5 items</t>
  </si>
  <si>
    <t>Five items, evaluated on a score with three levels: 0 not true, 1 somewhat true, and 2 certainly true</t>
  </si>
  <si>
    <t>Affected vs. Non-affected children (evaluated by teachers&amp;parents)</t>
  </si>
  <si>
    <t>Only children, comparison of averages by grades; not really useful data for our approach</t>
  </si>
  <si>
    <t>Y-14</t>
  </si>
  <si>
    <t xml:space="preserve">1995 Kobe earthquake </t>
  </si>
  <si>
    <r>
      <t xml:space="preserve">Village flooded: </t>
    </r>
    <r>
      <rPr>
        <sz val="11"/>
        <color rgb="FFFF0000"/>
        <rFont val="Calibri Light"/>
        <family val="2"/>
        <scheme val="major"/>
      </rPr>
      <t>DESCRIPTION</t>
    </r>
  </si>
  <si>
    <r>
      <t xml:space="preserve">Satellite flood damage: </t>
    </r>
    <r>
      <rPr>
        <sz val="11"/>
        <color rgb="FFFF0000"/>
        <rFont val="Calibri Light"/>
        <family val="2"/>
        <scheme val="major"/>
      </rPr>
      <t>DESCRIPTION</t>
    </r>
  </si>
  <si>
    <r>
      <t xml:space="preserve">Damage to property: </t>
    </r>
    <r>
      <rPr>
        <sz val="11"/>
        <color rgb="FFFF0000"/>
        <rFont val="Calibri Light"/>
        <family val="2"/>
        <scheme val="major"/>
      </rPr>
      <t>DESCRIPTION</t>
    </r>
  </si>
  <si>
    <r>
      <t xml:space="preserve">distance from earthquake: </t>
    </r>
    <r>
      <rPr>
        <sz val="11"/>
        <color rgb="FFFF0000"/>
        <rFont val="Calibri Light"/>
        <family val="2"/>
        <scheme val="major"/>
      </rPr>
      <t>DESCRIPTION</t>
    </r>
  </si>
  <si>
    <t>Binary: sent yes no</t>
  </si>
  <si>
    <t>Diff</t>
  </si>
  <si>
    <r>
      <t xml:space="preserve">Affected: </t>
    </r>
    <r>
      <rPr>
        <sz val="11"/>
        <color rgb="FFFF0000"/>
        <rFont val="Calibri Light"/>
        <family val="2"/>
        <scheme val="major"/>
      </rPr>
      <t>DESCRIPTION</t>
    </r>
  </si>
  <si>
    <t>Number of notes sent</t>
  </si>
  <si>
    <t>Percent of amount sent returned</t>
  </si>
  <si>
    <r>
      <t xml:space="preserve">Village flooded: </t>
    </r>
    <r>
      <rPr>
        <sz val="11"/>
        <color rgb="FFFF0000"/>
        <rFont val="Calibri Light"/>
        <family val="2"/>
        <scheme val="major"/>
      </rPr>
      <t>DESCRIBE</t>
    </r>
  </si>
  <si>
    <t>Household flooded: DESCRIBE</t>
  </si>
  <si>
    <t>SD Dependent V</t>
  </si>
  <si>
    <t>SD Independent V</t>
  </si>
  <si>
    <t>Vardy and Atkinson (2019)</t>
  </si>
  <si>
    <t>Before Earthquake: October 1991
After Earthquake: October 1996</t>
  </si>
  <si>
    <t xml:space="preserve">Value of 1 is given if respondent participated in voluntary community–building activities within a year, otherwise 0 </t>
  </si>
  <si>
    <t>Before vs. After &amp; Affected vs. non-affected: Survey-wave dummy*Distance from Kobe City (Inverse)</t>
  </si>
  <si>
    <t>(inverse) distance from epicenter* post-earthquake year dummy</t>
  </si>
  <si>
    <t>Table 4, col(3)</t>
  </si>
  <si>
    <t>Both</t>
  </si>
  <si>
    <t>Wie z-score in SE umrechnen?</t>
  </si>
  <si>
    <t>Only z-score reported, no SE/CI</t>
  </si>
  <si>
    <t>Yamamura (2014)</t>
  </si>
  <si>
    <t>Not standardizable (SEs missing)</t>
  </si>
  <si>
    <t>Time of data collection</t>
  </si>
  <si>
    <t>Primary</t>
  </si>
  <si>
    <t>Primary / Secondary Data</t>
  </si>
  <si>
    <t>Secondary</t>
  </si>
  <si>
    <t>Secondary data form Case Western Reserve University using expertise of the organization SocioEconomic Development Consultants (SEDCO)</t>
  </si>
  <si>
    <r>
      <rPr>
        <b/>
        <sz val="11"/>
        <color theme="1"/>
        <rFont val="Calibri Light"/>
        <family val="2"/>
        <scheme val="major"/>
      </rPr>
      <t>Secondary data (Country-level)</t>
    </r>
    <r>
      <rPr>
        <sz val="11"/>
        <color theme="1"/>
        <rFont val="Calibri Light"/>
        <family val="2"/>
        <scheme val="major"/>
      </rPr>
      <t xml:space="preserve">
Trust: from http://www.indsocdev.org/interpersonal-safetyand-trust.html
Exposure: OFDA/CRED International Database</t>
    </r>
  </si>
  <si>
    <t>Chinese General Social Survey (CGSS)</t>
  </si>
  <si>
    <t>Generally speaking, would you say that most people can be trusted? four-point Likert scale: You almost always can’t be too careful in dealing with people; You usually can’t be too careful in dealing with people; People can usually be trusted; People can almost always be trusted</t>
  </si>
  <si>
    <t>Likert: 1 to 4</t>
  </si>
  <si>
    <t>Generalised Trust</t>
  </si>
  <si>
    <t>Lee (2019)</t>
  </si>
  <si>
    <t>L-19</t>
  </si>
  <si>
    <t>All kinds of disaster from 2007-20011</t>
  </si>
  <si>
    <t>Journal</t>
  </si>
  <si>
    <t>Affectedness: 1 if person has experienced disaster and 0 otherwise</t>
  </si>
  <si>
    <t>Affected vs. Non-affected</t>
  </si>
  <si>
    <t>Multi-level regresion</t>
  </si>
  <si>
    <t>Experienced Disaster</t>
  </si>
  <si>
    <t>MULTI-LEVEL</t>
  </si>
  <si>
    <t>Table 4, col(6)</t>
  </si>
  <si>
    <t>Individual-level: Participation in associations Personal network Happiness Self-rated health Urbanisation Age Education years Gender Household income</t>
  </si>
  <si>
    <t>Analyse nicht sehr gut/detailliert beschrieben; nicht ganz klar was gemacht wird</t>
  </si>
  <si>
    <t>International Journal of Disaster Risk Reduction</t>
  </si>
  <si>
    <t>World Development</t>
  </si>
  <si>
    <t>Working Paper</t>
  </si>
  <si>
    <t>Journal of Asian Economics</t>
  </si>
  <si>
    <t>The Journal of Development Studies</t>
  </si>
  <si>
    <t xml:space="preserve">Evolution and Human Behavior </t>
  </si>
  <si>
    <t>Book Chapter</t>
  </si>
  <si>
    <t xml:space="preserve">Working Paper (?) I have the paper but cannot find it in the internet anymore; here it is also still mentioned: https://catalog.ihsn.org/citations/66524 </t>
  </si>
  <si>
    <t>Journal of Development Studies</t>
  </si>
  <si>
    <t>Sustainability</t>
  </si>
  <si>
    <t>Journal of Economic Psychology</t>
  </si>
  <si>
    <t>Psychological Science</t>
  </si>
  <si>
    <t>International Political Science Review</t>
  </si>
  <si>
    <t>Book</t>
  </si>
  <si>
    <t>Review of Economics and Statistics</t>
  </si>
  <si>
    <t>BL-23</t>
  </si>
  <si>
    <t>Biener and Landmann (2023)</t>
  </si>
  <si>
    <t>Journal of Economic Behavior and Organization</t>
  </si>
  <si>
    <t>Environmental Science and Pollution Research</t>
  </si>
  <si>
    <t>PlosOne</t>
  </si>
  <si>
    <t>Disasters</t>
  </si>
  <si>
    <t xml:space="preserve">British Journal of Social Psychology </t>
  </si>
  <si>
    <t>Weather, Climate, and Society</t>
  </si>
  <si>
    <t>Kyklos</t>
  </si>
  <si>
    <t>Papers in Regional Science</t>
  </si>
  <si>
    <t>World Development (?)</t>
  </si>
  <si>
    <t>(?Belief of) Reciprocity</t>
  </si>
  <si>
    <t>Albrecht (2017)</t>
  </si>
  <si>
    <t>A-17</t>
  </si>
  <si>
    <t>Multiple</t>
  </si>
  <si>
    <t>12 disasters (Storms, Floods, Extreme Temperatures) across European countries from 2002-2012</t>
  </si>
  <si>
    <t>Social Trust</t>
  </si>
  <si>
    <t>Index across 3 items</t>
  </si>
  <si>
    <t>Social trust is the dependent variable and is composed of three items: general trust; perceived fairness of others; and perceived helpfulness of others</t>
  </si>
  <si>
    <t>Before vs. After * leve lof exposure</t>
  </si>
  <si>
    <t>Before vs. after</t>
  </si>
  <si>
    <t>Social trust: European Social Survey (ESS) [2 months before &amp; after event]
Exposure: EM-DAT International Disaster Database</t>
  </si>
  <si>
    <t>Interviewed during/after disaster</t>
  </si>
  <si>
    <t>Table 2, col(2)</t>
  </si>
  <si>
    <t xml:space="preserve">Vergleicht ob social trust von Leuten in Land sich verändert wenn Disaster irgendwo im Land; eher nicht die Effekte (own experience/exposure to disaster) die wir uns angucken; sondern </t>
  </si>
  <si>
    <t>L-CI (95%) ttest</t>
  </si>
  <si>
    <t>U-CI (95%) ttest</t>
  </si>
  <si>
    <t>SE ttest</t>
  </si>
  <si>
    <t>n/a</t>
  </si>
  <si>
    <r>
      <rPr>
        <b/>
        <sz val="11"/>
        <color theme="1"/>
        <rFont val="Calibri Light"/>
        <family val="2"/>
        <scheme val="major"/>
      </rPr>
      <t>Combination of secondary data</t>
    </r>
    <r>
      <rPr>
        <sz val="11"/>
        <color theme="1"/>
        <rFont val="Calibri Light"/>
        <family val="2"/>
        <scheme val="major"/>
      </rPr>
      <t xml:space="preserve">
Trust: WVS W3: Aug 1996 &amp; W4: Sep 2002
Exposure: Flood Map released by Forecasting and Warning Centre (FFWC) of the Bangladesh Water Development Board
Aid received: From HIES dataset: In-kind receipts after flood (wheat and rice)</t>
    </r>
  </si>
  <si>
    <t>Before - After (between subject!)</t>
  </si>
  <si>
    <t>Diff-in-Diff: (After-Before)Aff vs. (After-Before)UnAff (between subject)</t>
  </si>
  <si>
    <r>
      <t>Diff-in-Diff: (After-Before)Aff vs. (After-Before)UnAff (</t>
    </r>
    <r>
      <rPr>
        <b/>
        <sz val="11"/>
        <color theme="1"/>
        <rFont val="Calibri Light"/>
        <family val="2"/>
        <scheme val="major"/>
      </rPr>
      <t>within subject</t>
    </r>
    <r>
      <rPr>
        <sz val="11"/>
        <color theme="1"/>
        <rFont val="Calibri Light"/>
        <family val="2"/>
        <scheme val="major"/>
      </rPr>
      <t>)</t>
    </r>
  </si>
  <si>
    <r>
      <t xml:space="preserve">Three waves used: 1990, </t>
    </r>
    <r>
      <rPr>
        <b/>
        <sz val="11"/>
        <color theme="1"/>
        <rFont val="Calibri Light"/>
        <family val="2"/>
        <scheme val="major"/>
      </rPr>
      <t>1997, 2000. 2007/8.</t>
    </r>
    <r>
      <rPr>
        <sz val="11"/>
        <color theme="1"/>
        <rFont val="Calibri Light"/>
        <family val="2"/>
        <scheme val="major"/>
      </rPr>
      <t xml:space="preserve"> 2014/15 from  Indonesian Family life survey </t>
    </r>
    <r>
      <rPr>
        <b/>
        <sz val="11"/>
        <color theme="1"/>
        <rFont val="Calibri Light"/>
        <family val="2"/>
        <scheme val="major"/>
      </rPr>
      <t>(balanced!)</t>
    </r>
  </si>
  <si>
    <t>Disaster abbr</t>
  </si>
  <si>
    <t>WI</t>
  </si>
  <si>
    <t>FL</t>
  </si>
  <si>
    <t>EQ</t>
  </si>
  <si>
    <t>N/A</t>
  </si>
  <si>
    <t>May 25/26, 2009 Cyclone Aila and coastal cyclonic storm surges</t>
  </si>
  <si>
    <t>Table 5</t>
  </si>
  <si>
    <t>Table 7</t>
  </si>
  <si>
    <t>2</t>
  </si>
  <si>
    <t>2.640/-0.180</t>
  </si>
  <si>
    <t>0.148/0.140</t>
  </si>
  <si>
    <t>3.583/ -0.242</t>
  </si>
  <si>
    <t>0.008/0.010</t>
  </si>
  <si>
    <t>3.250 / - 0.242</t>
  </si>
  <si>
    <t>0.004 / 0.005</t>
  </si>
  <si>
    <t>Table 3</t>
  </si>
  <si>
    <t>9.963 / -6.165 / 17.249</t>
  </si>
  <si>
    <t>3.026 / 2.381 / 3.766</t>
  </si>
  <si>
    <t>-4.9719</t>
  </si>
  <si>
    <t>9.7703</t>
  </si>
  <si>
    <t>-0.180</t>
  </si>
  <si>
    <t>0.104</t>
  </si>
  <si>
    <t>IV (measure of exposure)</t>
  </si>
  <si>
    <t>Trust Game: Sender</t>
  </si>
  <si>
    <t>Trust Game: Returnee</t>
  </si>
  <si>
    <t>Incent</t>
  </si>
  <si>
    <t>BS: Affected vs. non-affected</t>
  </si>
  <si>
    <t>Months passed</t>
  </si>
  <si>
    <t>Coefficient/Diff</t>
  </si>
  <si>
    <t>Solidarity</t>
  </si>
  <si>
    <t>Jun-Aug 2013</t>
  </si>
  <si>
    <t>Typhoon Haiyan, Novemer 2013</t>
  </si>
  <si>
    <t>Solidarity Game</t>
  </si>
  <si>
    <t>0-70 PHP</t>
  </si>
  <si>
    <t>200 PHP</t>
  </si>
  <si>
    <t>70 PHP</t>
  </si>
  <si>
    <t>distance to the eye of the storm, categories (close, middle, far) which strongly correlate with damages (high, medium, low)</t>
  </si>
  <si>
    <t>money sent in solidarity game</t>
  </si>
  <si>
    <t>regression analysis</t>
  </si>
  <si>
    <t>Table S14</t>
  </si>
  <si>
    <t>baseline solidarity (2012) before Haiyan, changes in solidarity expectations, trust national government, wealth; and socio-characteristics (age, gender, household head, single, education, player is stranger)</t>
  </si>
  <si>
    <t>-0.117</t>
  </si>
  <si>
    <t>0.025</t>
  </si>
  <si>
    <t>0.000</t>
  </si>
  <si>
    <t>-0.169</t>
  </si>
  <si>
    <t>-0.066</t>
  </si>
  <si>
    <t>450</t>
  </si>
  <si>
    <t>-0.053</t>
  </si>
  <si>
    <t>0.028</t>
  </si>
  <si>
    <t>0.068</t>
  </si>
  <si>
    <t>-0.110</t>
  </si>
  <si>
    <t>0.004</t>
  </si>
  <si>
    <t>categorical distance to the eye of the storm (effect of high damages compared to low damages)</t>
  </si>
  <si>
    <t>categorical distance to the eye of the storm (1 effect of medium damages in comparison to low)</t>
  </si>
  <si>
    <t>MAGKS Papers on Economics</t>
  </si>
  <si>
    <t>medium vs low affected (accounting for baseline differences)</t>
  </si>
  <si>
    <t>high vs low affected (accounting for baseline differences)</t>
  </si>
  <si>
    <t>High damages</t>
  </si>
  <si>
    <t>Medium damages</t>
  </si>
  <si>
    <t>This study</t>
  </si>
  <si>
    <t>F-17</t>
  </si>
  <si>
    <t>Fiala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</si>
</sst>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9" x14ac:knownFonts="1">
    <font>
      <sz val="11"/>
      <color theme="1"/>
      <name val="Calibri"/>
      <family val="2"/>
      <scheme val="minor"/>
    </font>
    <font>
      <sz val="12"/>
      <color theme="1"/>
      <name val="Calibri Light"/>
      <family val="2"/>
      <scheme val="major"/>
    </font>
    <font>
      <b/>
      <sz val="12"/>
      <color theme="1"/>
      <name val="Calibri Light"/>
      <family val="2"/>
      <scheme val="major"/>
    </font>
    <font>
      <sz val="11"/>
      <color theme="1"/>
      <name val="Calibri Light"/>
      <family val="2"/>
      <scheme val="major"/>
    </font>
    <font>
      <b/>
      <sz val="11"/>
      <color theme="1"/>
      <name val="Calibri Light"/>
      <family val="2"/>
      <scheme val="major"/>
    </font>
    <font>
      <sz val="11"/>
      <color theme="1"/>
      <name val="Calibri"/>
      <family val="2"/>
    </font>
    <font>
      <sz val="11"/>
      <color theme="1"/>
      <name val="Calibri"/>
    </font>
    <font>
      <sz val="11"/>
      <color rgb="FFFF0000"/>
      <name val="Calibri Light"/>
      <family val="2"/>
      <scheme val="major"/>
    </font>
    <font>
      <sz val="8"/>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2" tint="-4.9989318521683403E-2"/>
        <bgColor indexed="64"/>
      </patternFill>
    </fill>
    <fill>
      <patternFill patternType="solid">
        <fgColor rgb="FFFFFF00"/>
        <bgColor indexed="64"/>
      </patternFill>
    </fill>
    <fill>
      <patternFill patternType="solid">
        <fgColor theme="5" tint="-0.249977111117893"/>
        <bgColor indexed="64"/>
      </patternFill>
    </fill>
    <fill>
      <patternFill patternType="solid">
        <fgColor theme="7"/>
        <bgColor indexed="64"/>
      </patternFill>
    </fill>
  </fills>
  <borders count="15">
    <border>
      <left/>
      <right/>
      <top/>
      <bottom/>
      <diagonal/>
    </border>
    <border>
      <left/>
      <right style="dotted">
        <color indexed="64"/>
      </right>
      <top/>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dotted">
        <color indexed="64"/>
      </left>
      <right/>
      <top/>
      <bottom style="thin">
        <color indexed="64"/>
      </bottom>
      <diagonal/>
    </border>
    <border>
      <left/>
      <right style="dotted">
        <color indexed="64"/>
      </right>
      <top/>
      <bottom style="thin">
        <color indexed="64"/>
      </bottom>
      <diagonal/>
    </border>
    <border>
      <left style="thin">
        <color indexed="64"/>
      </left>
      <right/>
      <top/>
      <bottom style="thin">
        <color indexed="64"/>
      </bottom>
      <diagonal/>
    </border>
    <border>
      <left/>
      <right style="dotted">
        <color indexed="64"/>
      </right>
      <top style="thin">
        <color indexed="64"/>
      </top>
      <bottom/>
      <diagonal/>
    </border>
    <border>
      <left style="dotted">
        <color indexed="64"/>
      </left>
      <right/>
      <top style="thin">
        <color indexed="64"/>
      </top>
      <bottom/>
      <diagonal/>
    </border>
    <border>
      <left/>
      <right/>
      <top style="thin">
        <color indexed="64"/>
      </top>
      <bottom/>
      <diagonal/>
    </border>
  </borders>
  <cellStyleXfs count="1">
    <xf numFmtId="0" fontId="0" fillId="0" borderId="0"/>
  </cellStyleXfs>
  <cellXfs count="124">
    <xf numFmtId="0" fontId="0" fillId="0" borderId="0" xfId="0"/>
    <xf numFmtId="0" fontId="1"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1" fillId="0" borderId="0" xfId="0" applyFont="1" applyAlignment="1">
      <alignment vertical="center" wrapText="1"/>
    </xf>
    <xf numFmtId="0" fontId="1" fillId="0" borderId="0" xfId="0" applyFont="1" applyAlignment="1">
      <alignment horizontal="left" vertical="center" wrapText="1"/>
    </xf>
    <xf numFmtId="0" fontId="3" fillId="0" borderId="0" xfId="0" applyFont="1" applyAlignment="1">
      <alignment vertical="center"/>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center" vertical="center" wrapText="1"/>
    </xf>
    <xf numFmtId="0" fontId="4" fillId="0" borderId="10" xfId="0" applyFont="1" applyBorder="1" applyAlignment="1">
      <alignment horizontal="left" vertical="center" wrapText="1"/>
    </xf>
    <xf numFmtId="49" fontId="4" fillId="0" borderId="8" xfId="0" applyNumberFormat="1" applyFont="1" applyBorder="1" applyAlignment="1">
      <alignment horizontal="left" vertical="center" wrapText="1"/>
    </xf>
    <xf numFmtId="0" fontId="4" fillId="0" borderId="11" xfId="0" applyFont="1" applyBorder="1" applyAlignment="1">
      <alignment horizontal="left" vertical="center" wrapText="1"/>
    </xf>
    <xf numFmtId="0" fontId="4" fillId="0" borderId="9" xfId="0" applyFont="1" applyBorder="1" applyAlignment="1">
      <alignment vertical="center" wrapText="1"/>
    </xf>
    <xf numFmtId="49" fontId="3" fillId="0" borderId="0" xfId="0" applyNumberFormat="1" applyFont="1" applyAlignment="1">
      <alignment horizontal="center" vertical="center"/>
    </xf>
    <xf numFmtId="49" fontId="3" fillId="0" borderId="0" xfId="0" applyNumberFormat="1" applyFont="1" applyAlignment="1">
      <alignment horizontal="left" vertical="center" wrapText="1"/>
    </xf>
    <xf numFmtId="49" fontId="3" fillId="0" borderId="5" xfId="0" applyNumberFormat="1" applyFont="1" applyBorder="1" applyAlignment="1">
      <alignment horizontal="center" vertical="center"/>
    </xf>
    <xf numFmtId="0" fontId="3" fillId="0" borderId="0" xfId="0" applyFont="1" applyAlignment="1">
      <alignment horizontal="center"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2"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5" fillId="0" borderId="0" xfId="0" applyFont="1" applyAlignment="1">
      <alignment vertical="center" wrapText="1"/>
    </xf>
    <xf numFmtId="49" fontId="6" fillId="0" borderId="0" xfId="0" applyNumberFormat="1" applyFont="1" applyAlignment="1">
      <alignment horizontal="center" vertical="center" wrapText="1"/>
    </xf>
    <xf numFmtId="0" fontId="3" fillId="0" borderId="6" xfId="0" applyFont="1" applyBorder="1" applyAlignment="1">
      <alignment horizontal="center" vertical="center"/>
    </xf>
    <xf numFmtId="49" fontId="5" fillId="0" borderId="0" xfId="0" applyNumberFormat="1" applyFont="1" applyAlignment="1">
      <alignment horizontal="center" vertical="center" wrapText="1"/>
    </xf>
    <xf numFmtId="0" fontId="3" fillId="0" borderId="1" xfId="0" applyFont="1" applyBorder="1" applyAlignment="1">
      <alignment horizontal="left" vertical="center" wrapText="1"/>
    </xf>
    <xf numFmtId="49" fontId="3" fillId="0" borderId="0" xfId="0" applyNumberFormat="1" applyFont="1" applyAlignment="1">
      <alignment horizontal="center" vertical="center" wrapText="1"/>
    </xf>
    <xf numFmtId="49" fontId="3" fillId="0" borderId="5" xfId="0" applyNumberFormat="1" applyFont="1" applyBorder="1" applyAlignment="1">
      <alignment horizontal="center" vertical="center" wrapText="1"/>
    </xf>
    <xf numFmtId="0" fontId="3" fillId="3" borderId="0" xfId="0" applyFont="1" applyFill="1" applyAlignment="1">
      <alignment horizontal="center" vertical="center" wrapText="1"/>
    </xf>
    <xf numFmtId="0" fontId="6" fillId="0" borderId="0" xfId="0" applyFont="1" applyAlignment="1">
      <alignment horizontal="left" vertical="center" wrapText="1"/>
    </xf>
    <xf numFmtId="0" fontId="6" fillId="2" borderId="0" xfId="0" applyFont="1" applyFill="1" applyAlignment="1">
      <alignment horizontal="left" vertical="center" wrapText="1"/>
    </xf>
    <xf numFmtId="0" fontId="3" fillId="2" borderId="0" xfId="0" applyFont="1" applyFill="1" applyAlignment="1">
      <alignment horizontal="left" vertical="center" wrapText="1"/>
    </xf>
    <xf numFmtId="0" fontId="3" fillId="4" borderId="0" xfId="0" applyFont="1" applyFill="1" applyAlignment="1">
      <alignment horizontal="center" vertical="center"/>
    </xf>
    <xf numFmtId="0" fontId="5" fillId="0" borderId="0" xfId="0" applyFont="1" applyAlignment="1">
      <alignment horizontal="left" vertical="center" wrapText="1"/>
    </xf>
    <xf numFmtId="0" fontId="5" fillId="2" borderId="0" xfId="0" applyFont="1" applyFill="1" applyAlignment="1">
      <alignment horizontal="left" vertical="center" wrapText="1"/>
    </xf>
    <xf numFmtId="0" fontId="6" fillId="0" borderId="0" xfId="0" applyFont="1" applyAlignment="1">
      <alignment vertical="center" wrapText="1"/>
    </xf>
    <xf numFmtId="0" fontId="3" fillId="0" borderId="0" xfId="0" applyFont="1" applyAlignment="1">
      <alignment wrapText="1"/>
    </xf>
    <xf numFmtId="0" fontId="3" fillId="5" borderId="0" xfId="0" applyFont="1" applyFill="1" applyAlignment="1">
      <alignment horizontal="left" vertical="center" wrapText="1"/>
    </xf>
    <xf numFmtId="0" fontId="3" fillId="5" borderId="0" xfId="0" applyFont="1" applyFill="1" applyAlignment="1">
      <alignment horizontal="center" vertical="center" wrapText="1"/>
    </xf>
    <xf numFmtId="0" fontId="3" fillId="2" borderId="0" xfId="0" applyFont="1" applyFill="1" applyAlignment="1">
      <alignment vertical="center" wrapText="1"/>
    </xf>
    <xf numFmtId="0" fontId="3" fillId="6" borderId="0" xfId="0" applyFont="1" applyFill="1" applyAlignment="1">
      <alignment horizontal="center" vertical="center" wrapText="1"/>
    </xf>
    <xf numFmtId="0" fontId="3" fillId="4" borderId="0" xfId="0" applyFont="1" applyFill="1" applyAlignment="1">
      <alignment horizontal="left" vertical="center" wrapText="1"/>
    </xf>
    <xf numFmtId="0" fontId="3" fillId="0" borderId="1" xfId="0" applyFont="1" applyBorder="1" applyAlignment="1">
      <alignment horizontal="center" vertical="center" wrapText="1"/>
    </xf>
    <xf numFmtId="0" fontId="3" fillId="4" borderId="0" xfId="0" applyFont="1" applyFill="1" applyAlignment="1">
      <alignment vertical="center" wrapText="1"/>
    </xf>
    <xf numFmtId="49" fontId="5" fillId="0" borderId="0" xfId="0" applyNumberFormat="1" applyFont="1" applyAlignment="1">
      <alignment horizontal="left" vertical="center" wrapText="1"/>
    </xf>
    <xf numFmtId="49" fontId="5" fillId="4" borderId="0" xfId="0" applyNumberFormat="1" applyFont="1" applyFill="1" applyAlignment="1">
      <alignment horizontal="left" vertical="center" wrapText="1"/>
    </xf>
    <xf numFmtId="0" fontId="3" fillId="7" borderId="0" xfId="0" applyFont="1" applyFill="1" applyAlignment="1">
      <alignment horizontal="left" vertical="center" wrapText="1"/>
    </xf>
    <xf numFmtId="49" fontId="6" fillId="0" borderId="0" xfId="0" applyNumberFormat="1" applyFont="1" applyAlignment="1">
      <alignment horizontal="center" vertical="center"/>
    </xf>
    <xf numFmtId="49" fontId="5" fillId="0" borderId="0" xfId="0" applyNumberFormat="1" applyFont="1" applyAlignment="1">
      <alignment horizontal="center" vertical="center"/>
    </xf>
    <xf numFmtId="0" fontId="3" fillId="8" borderId="0" xfId="0" applyFont="1" applyFill="1" applyAlignment="1">
      <alignment horizontal="center" vertical="center" wrapText="1"/>
    </xf>
    <xf numFmtId="0" fontId="3" fillId="0" borderId="5" xfId="0" applyFont="1" applyBorder="1" applyAlignment="1">
      <alignment horizontal="center" vertical="center" wrapText="1"/>
    </xf>
    <xf numFmtId="0" fontId="6" fillId="0" borderId="0" xfId="0" applyFont="1" applyAlignment="1">
      <alignment horizontal="center" vertical="center"/>
    </xf>
    <xf numFmtId="2" fontId="5" fillId="0" borderId="0" xfId="0" applyNumberFormat="1" applyFont="1" applyAlignment="1">
      <alignment horizontal="center" vertical="center"/>
    </xf>
    <xf numFmtId="0" fontId="5" fillId="0" borderId="0" xfId="0" applyFont="1" applyAlignment="1">
      <alignment horizontal="center" vertical="center" wrapText="1"/>
    </xf>
    <xf numFmtId="0" fontId="0" fillId="0" borderId="0" xfId="0" applyAlignment="1">
      <alignment horizontal="center" vertical="center"/>
    </xf>
    <xf numFmtId="0" fontId="6" fillId="7" borderId="0" xfId="0" applyFont="1" applyFill="1" applyAlignment="1">
      <alignment horizontal="left" vertical="center" wrapText="1"/>
    </xf>
    <xf numFmtId="0" fontId="6" fillId="0" borderId="0" xfId="0" applyFont="1" applyAlignment="1">
      <alignment horizontal="center" vertical="center" wrapText="1"/>
    </xf>
    <xf numFmtId="0" fontId="3" fillId="0" borderId="0" xfId="0" applyFont="1" applyAlignment="1">
      <alignment horizontal="center" wrapText="1"/>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0" xfId="0" applyFont="1" applyAlignment="1">
      <alignment vertical="center"/>
    </xf>
    <xf numFmtId="0" fontId="3" fillId="0" borderId="6" xfId="0" applyFont="1" applyBorder="1" applyAlignment="1">
      <alignment horizontal="left" vertical="center" wrapText="1"/>
    </xf>
    <xf numFmtId="49" fontId="4" fillId="0" borderId="0" xfId="0" applyNumberFormat="1" applyFont="1" applyAlignment="1">
      <alignment horizontal="left" vertical="center" wrapText="1"/>
    </xf>
    <xf numFmtId="0" fontId="4" fillId="0" borderId="6" xfId="0" applyFont="1" applyBorder="1" applyAlignment="1">
      <alignment horizontal="left" vertical="center" wrapText="1"/>
    </xf>
    <xf numFmtId="49" fontId="4" fillId="0" borderId="11" xfId="0" applyNumberFormat="1" applyFont="1" applyBorder="1" applyAlignment="1">
      <alignment horizontal="left" vertical="center" wrapText="1"/>
    </xf>
    <xf numFmtId="0" fontId="3" fillId="5" borderId="6"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0" borderId="6" xfId="0" applyFont="1" applyBorder="1" applyAlignment="1">
      <alignment horizontal="left" vertical="center"/>
    </xf>
    <xf numFmtId="0" fontId="0" fillId="0" borderId="6" xfId="0" applyBorder="1"/>
    <xf numFmtId="164" fontId="3" fillId="2" borderId="0" xfId="0" applyNumberFormat="1" applyFont="1" applyFill="1" applyAlignment="1">
      <alignment horizontal="center" vertical="center" wrapText="1"/>
    </xf>
    <xf numFmtId="49" fontId="6" fillId="0" borderId="0" xfId="0" applyNumberFormat="1" applyFont="1" applyAlignment="1">
      <alignment horizontal="left" vertical="center" wrapText="1"/>
    </xf>
    <xf numFmtId="0" fontId="0" fillId="0" borderId="0" xfId="0" applyAlignment="1">
      <alignment horizontal="center"/>
    </xf>
    <xf numFmtId="0" fontId="0" fillId="0" borderId="0" xfId="0" applyAlignment="1">
      <alignment vertical="center"/>
    </xf>
    <xf numFmtId="0" fontId="0" fillId="0" borderId="0" xfId="0" applyAlignment="1">
      <alignment wrapText="1"/>
    </xf>
    <xf numFmtId="0" fontId="0" fillId="0" borderId="0" xfId="0" applyAlignment="1">
      <alignment horizontal="left"/>
    </xf>
    <xf numFmtId="0" fontId="2" fillId="0" borderId="1" xfId="0" applyFont="1" applyBorder="1" applyAlignment="1">
      <alignment horizontal="left" vertical="center" wrapText="1"/>
    </xf>
    <xf numFmtId="0" fontId="0" fillId="0" borderId="0" xfId="0" applyAlignment="1">
      <alignment horizontal="left" wrapText="1"/>
    </xf>
    <xf numFmtId="0" fontId="3" fillId="7" borderId="5" xfId="0" applyFont="1" applyFill="1" applyBorder="1" applyAlignment="1">
      <alignment horizontal="center" vertical="center"/>
    </xf>
    <xf numFmtId="0" fontId="2" fillId="0" borderId="4" xfId="0" applyFont="1" applyBorder="1" applyAlignment="1">
      <alignment vertical="center" wrapText="1"/>
    </xf>
    <xf numFmtId="0" fontId="0" fillId="0" borderId="6" xfId="0" applyBorder="1" applyAlignment="1">
      <alignment vertical="center"/>
    </xf>
    <xf numFmtId="49" fontId="0" fillId="0" borderId="0" xfId="0" applyNumberFormat="1"/>
    <xf numFmtId="49" fontId="5" fillId="0" borderId="0" xfId="0" applyNumberFormat="1" applyFont="1" applyAlignment="1">
      <alignment vertical="center" wrapText="1"/>
    </xf>
    <xf numFmtId="49" fontId="4" fillId="0" borderId="8" xfId="0" applyNumberFormat="1" applyFont="1" applyBorder="1" applyAlignment="1">
      <alignment horizontal="center" vertical="center" wrapText="1"/>
    </xf>
    <xf numFmtId="0" fontId="3" fillId="9" borderId="0" xfId="0" applyFont="1" applyFill="1" applyAlignment="1">
      <alignment horizontal="left" vertical="center" wrapText="1"/>
    </xf>
    <xf numFmtId="49" fontId="3" fillId="9" borderId="0" xfId="0" applyNumberFormat="1" applyFont="1" applyFill="1" applyAlignment="1">
      <alignment horizontal="left" vertical="center" wrapText="1"/>
    </xf>
    <xf numFmtId="0" fontId="3" fillId="0" borderId="1" xfId="0" applyFont="1" applyBorder="1" applyAlignment="1">
      <alignment wrapText="1"/>
    </xf>
    <xf numFmtId="0" fontId="4" fillId="0" borderId="1" xfId="0" applyFont="1" applyBorder="1" applyAlignment="1">
      <alignment horizontal="left" vertical="center" wrapText="1"/>
    </xf>
    <xf numFmtId="0" fontId="4" fillId="0" borderId="0" xfId="0" applyFont="1" applyAlignment="1">
      <alignment vertical="center" wrapText="1"/>
    </xf>
    <xf numFmtId="0" fontId="3" fillId="0" borderId="5" xfId="0" applyFont="1" applyBorder="1" applyAlignment="1">
      <alignment horizontal="left" vertical="center" wrapText="1"/>
    </xf>
    <xf numFmtId="49" fontId="3" fillId="0" borderId="6" xfId="0" applyNumberFormat="1" applyFont="1" applyBorder="1" applyAlignment="1">
      <alignment horizontal="left"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4" fillId="0" borderId="0" xfId="0" applyFont="1" applyAlignment="1">
      <alignment horizontal="center" vertical="center"/>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xf>
    <xf numFmtId="49" fontId="3" fillId="0" borderId="14" xfId="0" applyNumberFormat="1" applyFont="1" applyBorder="1" applyAlignment="1">
      <alignment horizontal="left" vertical="center"/>
    </xf>
    <xf numFmtId="49" fontId="3" fillId="0" borderId="0" xfId="0" applyNumberFormat="1" applyFont="1" applyAlignment="1">
      <alignment horizontal="left" vertical="center"/>
    </xf>
    <xf numFmtId="0" fontId="3" fillId="0" borderId="14" xfId="0" applyFont="1" applyBorder="1" applyAlignment="1">
      <alignment horizontal="center" vertical="center"/>
    </xf>
    <xf numFmtId="0" fontId="3" fillId="0" borderId="0" xfId="0" applyFont="1" applyAlignment="1">
      <alignment horizontal="center" vertical="center"/>
    </xf>
    <xf numFmtId="0" fontId="3" fillId="0" borderId="14" xfId="0" applyFont="1" applyBorder="1" applyAlignment="1">
      <alignment horizontal="left" vertical="center" wrapText="1"/>
    </xf>
    <xf numFmtId="0" fontId="3" fillId="0" borderId="0" xfId="0" applyFont="1" applyAlignment="1">
      <alignment horizontal="left" vertical="center" wrapText="1"/>
    </xf>
    <xf numFmtId="49" fontId="3" fillId="0" borderId="12" xfId="0" applyNumberFormat="1" applyFont="1" applyBorder="1" applyAlignment="1">
      <alignment horizontal="left" vertical="center" wrapText="1"/>
    </xf>
    <xf numFmtId="49" fontId="3" fillId="0" borderId="1" xfId="0" applyNumberFormat="1" applyFont="1" applyBorder="1" applyAlignment="1">
      <alignment horizontal="left" vertical="center" wrapText="1"/>
    </xf>
    <xf numFmtId="49" fontId="3" fillId="0" borderId="13" xfId="0" applyNumberFormat="1" applyFont="1" applyBorder="1" applyAlignment="1">
      <alignment horizontal="left" vertical="center"/>
    </xf>
    <xf numFmtId="49" fontId="3" fillId="0" borderId="5" xfId="0" applyNumberFormat="1" applyFont="1" applyBorder="1" applyAlignment="1">
      <alignment horizontal="left" vertical="center"/>
    </xf>
    <xf numFmtId="49" fontId="3" fillId="0" borderId="14" xfId="0" applyNumberFormat="1" applyFont="1" applyBorder="1" applyAlignment="1">
      <alignment horizontal="left" vertical="center" wrapText="1"/>
    </xf>
    <xf numFmtId="49" fontId="3" fillId="0" borderId="0" xfId="0" applyNumberFormat="1" applyFont="1" applyAlignment="1">
      <alignment horizontal="left" vertical="center" wrapText="1"/>
    </xf>
    <xf numFmtId="0" fontId="3" fillId="0" borderId="14" xfId="0" applyFont="1" applyBorder="1" applyAlignment="1">
      <alignment horizontal="center" vertical="center" wrapText="1"/>
    </xf>
    <xf numFmtId="0" fontId="3" fillId="0" borderId="0" xfId="0" applyFont="1" applyAlignment="1">
      <alignment horizontal="center" vertical="center" wrapText="1"/>
    </xf>
  </cellXfs>
  <cellStyles count="1">
    <cellStyle name="Standard" xfId="0" builtinId="0"/>
  </cellStyles>
  <dxfs count="150">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ax Burger" id="{F734E982-60DF-46A9-9186-D243F8B4E0D7}" userId="25d92e82005d7af0" providerId="Windows Live"/>
</personList>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3" dT="2022-12-26T13:17:43.16" personId="{F734E982-60DF-46A9-9186-D243F8B4E0D7}" id="{1DF8B35C-AAEE-4B91-963B-63B85A21B64A}">
    <text>Squared term</text>
  </threadedComment>
  <threadedComment ref="L13" dT="2022-05-10T09:36:29.15" personId="{F734E982-60DF-46A9-9186-D243F8B4E0D7}" id="{0B71ED78-E5AC-4A64-91F3-658F33C9AAA8}">
    <text>taking the mid of "summer": June/July</text>
  </threadedComment>
  <threadedComment ref="L14" dT="2022-05-10T09:36:29.15" personId="{F734E982-60DF-46A9-9186-D243F8B4E0D7}" id="{C086D640-DFCD-41EF-A1FE-FD6D3D4DCAF4}">
    <text>taking the mid of "summer": June/July</text>
  </threadedComment>
  <threadedComment ref="L15" dT="2022-05-10T09:36:29.15" personId="{F734E982-60DF-46A9-9186-D243F8B4E0D7}" id="{6639B36A-C140-4C08-8153-F84364FC342E}">
    <text>taking the mid of "summer": June/July</text>
  </threadedComment>
  <threadedComment ref="T20" dT="2022-12-26T11:01:53.21" personId="{F734E982-60DF-46A9-9186-D243F8B4E0D7}" id="{59EC2319-AE90-499D-9982-EAEE0018C887}">
    <text>The authors state that "The money to be sent (s) could be any amount in the range 0 ≤ s ≤ p"; However, mean (median): 2.31 (2) and 2.24 (2) in treatment and control with 0-6000 CLP in steps of 1000 to be divided. Therefore, I assume that the outcome variable (s) is amount of 1,000 Peso Bills sent</text>
  </threadedComment>
  <threadedComment ref="B22" dT="2022-12-26T13:16:43.67" personId="{F734E982-60DF-46A9-9186-D243F8B4E0D7}" id="{81430D35-BE3A-45D0-9962-152219A01003}">
    <text>Necessary values non-deducible</text>
  </threadedComment>
  <threadedComment ref="B23" dT="2022-12-26T13:17:03.94" personId="{F734E982-60DF-46A9-9186-D243F8B4E0D7}" id="{1700282F-8065-4AB1-8764-3EA918CB3C60}">
    <text>Pro-Sociality towards affected</text>
  </threadedComment>
  <threadedComment ref="B26" dT="2022-12-26T13:17:19.06" personId="{F734E982-60DF-46A9-9186-D243F8B4E0D7}" id="{2868D9FB-9218-4B54-9141-C7860FB9675E}">
    <text>Necessary values non-deducible</text>
  </threadedComment>
  <threadedComment ref="AS31" dT="2022-12-16T08:41:38.48" personId="{F734E982-60DF-46A9-9186-D243F8B4E0D7}" id="{A25245F8-335C-464E-9E8E-684CBECC2F66}">
    <text>Calculated based on given coefficient and confidence intervals</text>
  </threadedComment>
  <threadedComment ref="AN32" dT="2022-05-11T14:03:28.92" personId="{F734E982-60DF-46A9-9186-D243F8B4E0D7}" id="{FF0FE002-ABEF-4B3B-A835-47F910194174}">
    <text>aus "nachbilden" der Daten und testen in Stata...</text>
  </threadedComment>
  <threadedComment ref="AS38" dT="2022-12-21T13:03:03.90" personId="{F734E982-60DF-46A9-9186-D243F8B4E0D7}" id="{CC995A77-F30C-485F-ACEF-C510C2D2D28E}">
    <text>Z-statistic: 1.793</text>
  </threadedComment>
  <threadedComment ref="B43" dT="2022-12-26T13:17:26.14" personId="{F734E982-60DF-46A9-9186-D243F8B4E0D7}" id="{7CDF0173-1618-4218-8233-0D690DEF0DB7}">
    <text>Children</text>
  </threadedComment>
  <threadedComment ref="B44" dT="2022-12-19T10:41:14.33" personId="{F734E982-60DF-46A9-9186-D243F8B4E0D7}" id="{17EFA5AA-73A3-43C9-95C5-2CA7FF28B9E4}">
    <text>SD der Erklärenden (interaction-term) nicht angegeben...</text>
  </threadedComment>
  <threadedComment ref="AT49" dT="2022-12-20T09:31:22.56" personId="{F734E982-60DF-46A9-9186-D243F8B4E0D7}" id="{55A5C9CF-C902-4962-B8D2-E67339FE72F1}">
    <text xml:space="preserve">Calculated from degrees of freedom (375) &amp; t-value (2.919)
</text>
  </threadedComment>
  <threadedComment ref="AS50" dT="2022-12-21T12:22:18.89" personId="{F734E982-60DF-46A9-9186-D243F8B4E0D7}" id="{F4D1EF40-8AB0-45FA-8B2E-F348C5F8B09F}">
    <text>z-score: 4.87 ; how to get SE?</text>
  </threadedComment>
</ThreadedComments>
</file>

<file path=xl/threadedComments/threadedComment2.xml><?xml version="1.0" encoding="utf-8"?>
<ThreadedComments xmlns="http://schemas.microsoft.com/office/spreadsheetml/2018/threadedcomments" xmlns:x="http://schemas.openxmlformats.org/spreadsheetml/2006/main">
  <threadedComment ref="F9" dT="2022-05-10T09:36:29.15" personId="{F734E982-60DF-46A9-9186-D243F8B4E0D7}" id="{B357ED31-511F-465D-9F84-DFE780926A87}">
    <text>taking the mid of "summer": June/July</text>
  </threadedComment>
  <threadedComment ref="F10" dT="2022-05-10T09:36:29.15" personId="{F734E982-60DF-46A9-9186-D243F8B4E0D7}" id="{3BBCD1B1-B46B-4478-889A-C57A777F0B78}">
    <text>taking the mid of "summer": June/July</text>
  </threadedComment>
  <threadedComment ref="F11" dT="2022-05-10T09:36:29.15" personId="{F734E982-60DF-46A9-9186-D243F8B4E0D7}" id="{9DE9C937-9D96-4519-8D97-1B02C8AFB512}">
    <text>taking the mid of "summer": June/July</text>
  </threadedComment>
  <threadedComment ref="AF24" dT="2022-12-16T08:41:38.48" personId="{F734E982-60DF-46A9-9186-D243F8B4E0D7}" id="{A3D65074-556F-4AD6-98FD-86C919A594C8}">
    <text>Calculated based on given coefficient and confidence intervals</text>
  </threadedComment>
  <threadedComment ref="AA25" dT="2022-05-11T14:03:28.92" personId="{F734E982-60DF-46A9-9186-D243F8B4E0D7}" id="{18EF34A4-0667-46A1-A017-EC398711F2B0}">
    <text>aus "nachbilden" der Daten und testen in Stata...</text>
  </threadedComment>
</ThreadedComments>
</file>

<file path=xl/threadedComments/threadedComment3.xml><?xml version="1.0" encoding="utf-8"?>
<ThreadedComments xmlns="http://schemas.microsoft.com/office/spreadsheetml/2018/threadedcomments" xmlns:x="http://schemas.openxmlformats.org/spreadsheetml/2006/main">
  <threadedComment ref="B12" dT="2022-12-19T10:41:14.33" personId="{F734E982-60DF-46A9-9186-D243F8B4E0D7}" id="{54E1112B-F7A9-41B9-9FB4-00B72FD4382E}">
    <text>SD der Erklärenden (interaction-term) nicht angegeben...</text>
  </threadedComment>
  <threadedComment ref="AI15" dT="2022-12-21T13:03:03.90" personId="{F734E982-60DF-46A9-9186-D243F8B4E0D7}" id="{2A8E61A5-4880-459E-98CA-67354E5761B2}">
    <text>Z-statistic: 1.793</text>
  </threadedComment>
  <threadedComment ref="AJ16" dT="2022-12-20T09:31:22.56" personId="{F734E982-60DF-46A9-9186-D243F8B4E0D7}" id="{D33EBDD9-BF3C-4A98-A93C-407203D7C2C9}">
    <text xml:space="preserve">Calculated from degrees of freedom (375) &amp; t-value (2.919)
</text>
  </threadedComment>
  <threadedComment ref="AI18" dT="2022-12-21T12:22:18.89" personId="{F734E982-60DF-46A9-9186-D243F8B4E0D7}" id="{BD74A7CA-19E8-4A5A-9490-C9A34603B7C2}">
    <text>z-score: 4.87 ; how to get SE?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40401-491A-4D2D-ACAC-5A3F4A41CB0D}">
  <sheetPr filterMode="1"/>
  <dimension ref="A1:BF56"/>
  <sheetViews>
    <sheetView tabSelected="1" topLeftCell="L1" zoomScale="70" zoomScaleNormal="70" workbookViewId="0">
      <pane ySplit="3" topLeftCell="A22" activePane="bottomLeft" state="frozen"/>
      <selection activeCell="AG1" sqref="AG1"/>
      <selection pane="bottomLeft" activeCell="U30" sqref="U30"/>
    </sheetView>
  </sheetViews>
  <sheetFormatPr baseColWidth="10" defaultRowHeight="15" x14ac:dyDescent="0.25"/>
  <cols>
    <col min="2" max="2" width="11.5703125"/>
    <col min="3" max="3" width="35.5703125" customWidth="1"/>
    <col min="4" max="4" width="11.5703125" customWidth="1"/>
    <col min="5" max="5" width="19.28515625" customWidth="1"/>
    <col min="6" max="6" width="41.140625" style="90" customWidth="1"/>
    <col min="7" max="7" width="11.28515625" customWidth="1"/>
    <col min="8" max="8" width="12.42578125" customWidth="1"/>
    <col min="9" max="9" width="54.140625" customWidth="1"/>
    <col min="10" max="10" width="21.140625" customWidth="1"/>
    <col min="11" max="11" width="16.140625" style="85" customWidth="1"/>
    <col min="12" max="12" width="88.7109375" customWidth="1"/>
    <col min="13" max="13" width="10.28515625" customWidth="1"/>
    <col min="14" max="14" width="11.42578125" customWidth="1"/>
    <col min="15" max="15" width="21.42578125" customWidth="1"/>
    <col min="16" max="16" width="22.7109375" customWidth="1"/>
    <col min="17" max="17" width="16.28515625" bestFit="1" customWidth="1"/>
    <col min="18" max="18" width="15.5703125" customWidth="1"/>
    <col min="19" max="19" width="28.42578125" customWidth="1"/>
    <col min="20" max="20" width="49.85546875" customWidth="1"/>
    <col min="21" max="21" width="81.7109375" style="87" customWidth="1"/>
    <col min="22" max="22" width="28.5703125" customWidth="1"/>
    <col min="23" max="23" width="18.140625" customWidth="1"/>
    <col min="24" max="24" width="109.140625" customWidth="1"/>
    <col min="25" max="25" width="37.140625" customWidth="1"/>
    <col min="26" max="26" width="68" customWidth="1"/>
    <col min="27" max="27" width="54.7109375" customWidth="1"/>
    <col min="36" max="36" width="24.85546875" bestFit="1" customWidth="1"/>
    <col min="37" max="37" width="24.85546875" customWidth="1"/>
    <col min="38" max="38" width="10.5703125" bestFit="1" customWidth="1"/>
    <col min="39" max="41" width="10.5703125" customWidth="1"/>
    <col min="42" max="42" width="36" style="82" customWidth="1"/>
    <col min="43" max="43" width="62.7109375" customWidth="1"/>
    <col min="44" max="44" width="24.28515625" customWidth="1"/>
    <col min="47" max="47" width="15.85546875" customWidth="1"/>
    <col min="48" max="48" width="15" customWidth="1"/>
    <col min="49" max="49" width="17.42578125" customWidth="1"/>
    <col min="50" max="50" width="24.28515625" customWidth="1"/>
    <col min="51" max="51" width="24" customWidth="1"/>
    <col min="52" max="52" width="26.5703125" customWidth="1"/>
    <col min="53" max="53" width="22.28515625" bestFit="1" customWidth="1"/>
    <col min="54" max="54" width="16.5703125" customWidth="1"/>
    <col min="55" max="55" width="20.85546875" customWidth="1"/>
    <col min="56" max="56" width="71.7109375" style="87" customWidth="1"/>
    <col min="57" max="57" width="26.140625" customWidth="1"/>
    <col min="58" max="58" width="80.42578125" customWidth="1"/>
  </cols>
  <sheetData>
    <row r="1" spans="1:58" ht="15.75" x14ac:dyDescent="0.25">
      <c r="A1" s="1"/>
      <c r="B1" s="1"/>
      <c r="C1" s="2" t="s">
        <v>0</v>
      </c>
      <c r="D1" s="3"/>
      <c r="E1" s="4"/>
      <c r="F1" s="89"/>
      <c r="H1" s="72"/>
      <c r="I1" s="74" t="s">
        <v>1</v>
      </c>
      <c r="J1" s="74"/>
      <c r="K1" s="3"/>
      <c r="L1" s="72"/>
      <c r="M1" s="72"/>
      <c r="N1" s="73"/>
      <c r="O1" s="71"/>
      <c r="P1" s="72"/>
      <c r="Q1" s="72"/>
      <c r="R1" s="72"/>
      <c r="S1" s="74" t="s">
        <v>2</v>
      </c>
      <c r="T1" s="72"/>
      <c r="U1" s="92"/>
      <c r="V1" s="5"/>
      <c r="W1" s="5"/>
      <c r="X1" s="5"/>
      <c r="Y1" s="6"/>
      <c r="Z1" s="5"/>
      <c r="AA1" s="2"/>
      <c r="AB1" s="104" t="s">
        <v>3</v>
      </c>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5"/>
      <c r="BE1" s="7"/>
      <c r="BF1" s="8"/>
    </row>
    <row r="2" spans="1:58" x14ac:dyDescent="0.25">
      <c r="A2" s="9"/>
      <c r="B2" s="9"/>
      <c r="C2" s="10"/>
      <c r="D2" s="11"/>
      <c r="E2" s="11"/>
      <c r="F2" s="14"/>
      <c r="G2" s="12"/>
      <c r="H2" s="11"/>
      <c r="I2" s="10"/>
      <c r="J2" s="10"/>
      <c r="K2" s="10"/>
      <c r="L2" s="10"/>
      <c r="M2" s="11"/>
      <c r="N2" s="13"/>
      <c r="O2" s="12"/>
      <c r="P2" s="10"/>
      <c r="Q2" s="11"/>
      <c r="R2" s="11"/>
      <c r="S2" s="10"/>
      <c r="T2" s="10"/>
      <c r="U2" s="10"/>
      <c r="V2" s="10"/>
      <c r="W2" s="10"/>
      <c r="X2" s="10"/>
      <c r="Y2" s="11"/>
      <c r="Z2" s="10"/>
      <c r="AA2" s="10"/>
      <c r="AB2" s="106" t="s">
        <v>4</v>
      </c>
      <c r="AC2" s="106"/>
      <c r="AD2" s="106"/>
      <c r="AE2" s="106"/>
      <c r="AF2" s="106"/>
      <c r="AG2" s="106"/>
      <c r="AH2" s="106"/>
      <c r="AI2" s="107"/>
      <c r="AJ2" s="108" t="s">
        <v>5</v>
      </c>
      <c r="AK2" s="106"/>
      <c r="AL2" s="106"/>
      <c r="AM2" s="11"/>
      <c r="AN2" s="11"/>
      <c r="AO2" s="11"/>
      <c r="AP2" s="77"/>
      <c r="AQ2" s="14"/>
      <c r="AR2" s="106" t="s">
        <v>6</v>
      </c>
      <c r="AS2" s="106"/>
      <c r="AT2" s="106"/>
      <c r="AU2" s="106"/>
      <c r="AV2" s="106"/>
      <c r="AW2" s="106"/>
      <c r="AX2" s="106"/>
      <c r="AY2" s="106"/>
      <c r="AZ2" s="106"/>
      <c r="BA2" s="106"/>
      <c r="BB2" s="106"/>
      <c r="BC2" s="106"/>
      <c r="BD2" s="109"/>
      <c r="BE2" s="15"/>
      <c r="BF2" s="16"/>
    </row>
    <row r="3" spans="1:58" ht="45" x14ac:dyDescent="0.25">
      <c r="A3" s="18" t="s">
        <v>7</v>
      </c>
      <c r="B3" s="18" t="s">
        <v>8</v>
      </c>
      <c r="C3" s="18" t="s">
        <v>9</v>
      </c>
      <c r="D3" s="18" t="s">
        <v>10</v>
      </c>
      <c r="E3" s="18" t="s">
        <v>11</v>
      </c>
      <c r="F3" s="18" t="s">
        <v>584</v>
      </c>
      <c r="G3" s="19" t="s">
        <v>12</v>
      </c>
      <c r="H3" s="18" t="s">
        <v>13</v>
      </c>
      <c r="I3" s="18" t="s">
        <v>14</v>
      </c>
      <c r="J3" s="18" t="s">
        <v>642</v>
      </c>
      <c r="K3" s="20" t="s">
        <v>573</v>
      </c>
      <c r="L3" s="18" t="s">
        <v>571</v>
      </c>
      <c r="M3" s="20" t="s">
        <v>15</v>
      </c>
      <c r="N3" s="21" t="s">
        <v>16</v>
      </c>
      <c r="O3" s="19" t="s">
        <v>17</v>
      </c>
      <c r="P3" s="18" t="s">
        <v>18</v>
      </c>
      <c r="Q3" s="18" t="s">
        <v>19</v>
      </c>
      <c r="R3" s="18" t="s">
        <v>20</v>
      </c>
      <c r="S3" s="18" t="s">
        <v>21</v>
      </c>
      <c r="T3" s="18" t="s">
        <v>22</v>
      </c>
      <c r="U3" s="18" t="s">
        <v>23</v>
      </c>
      <c r="V3" s="18" t="s">
        <v>24</v>
      </c>
      <c r="W3" s="18" t="s">
        <v>25</v>
      </c>
      <c r="X3" s="18" t="s">
        <v>26</v>
      </c>
      <c r="Y3" s="18" t="s">
        <v>27</v>
      </c>
      <c r="Z3" s="18" t="s">
        <v>28</v>
      </c>
      <c r="AA3" s="18" t="s">
        <v>29</v>
      </c>
      <c r="AB3" s="18" t="s">
        <v>30</v>
      </c>
      <c r="AC3" s="18" t="s">
        <v>31</v>
      </c>
      <c r="AD3" s="22" t="s">
        <v>32</v>
      </c>
      <c r="AE3" s="22" t="s">
        <v>33</v>
      </c>
      <c r="AF3" s="22" t="s">
        <v>34</v>
      </c>
      <c r="AG3" s="22" t="s">
        <v>35</v>
      </c>
      <c r="AH3" s="22" t="s">
        <v>36</v>
      </c>
      <c r="AI3" s="22" t="s">
        <v>37</v>
      </c>
      <c r="AJ3" s="23" t="s">
        <v>38</v>
      </c>
      <c r="AK3" s="18" t="s">
        <v>552</v>
      </c>
      <c r="AL3" s="22" t="s">
        <v>39</v>
      </c>
      <c r="AM3" s="76" t="s">
        <v>633</v>
      </c>
      <c r="AN3" s="76" t="s">
        <v>634</v>
      </c>
      <c r="AO3" s="76" t="s">
        <v>635</v>
      </c>
      <c r="AP3" s="78" t="s">
        <v>40</v>
      </c>
      <c r="AQ3" s="22" t="s">
        <v>41</v>
      </c>
      <c r="AR3" s="22" t="s">
        <v>42</v>
      </c>
      <c r="AS3" s="22" t="s">
        <v>43</v>
      </c>
      <c r="AT3" s="22" t="s">
        <v>39</v>
      </c>
      <c r="AU3" s="22" t="s">
        <v>44</v>
      </c>
      <c r="AV3" s="22" t="s">
        <v>45</v>
      </c>
      <c r="AW3" s="22" t="s">
        <v>46</v>
      </c>
      <c r="AX3" s="22" t="s">
        <v>558</v>
      </c>
      <c r="AY3" s="22" t="s">
        <v>559</v>
      </c>
      <c r="AZ3" s="18" t="s">
        <v>47</v>
      </c>
      <c r="BA3" s="18" t="s">
        <v>48</v>
      </c>
      <c r="BB3" s="18" t="s">
        <v>49</v>
      </c>
      <c r="BC3" s="18" t="s">
        <v>50</v>
      </c>
      <c r="BD3" s="21" t="s">
        <v>51</v>
      </c>
      <c r="BE3" s="24" t="s">
        <v>52</v>
      </c>
      <c r="BF3" s="18" t="s">
        <v>53</v>
      </c>
    </row>
    <row r="4" spans="1:58" ht="45" x14ac:dyDescent="0.25">
      <c r="A4" s="25">
        <v>0</v>
      </c>
      <c r="B4" s="25">
        <v>1</v>
      </c>
      <c r="C4" s="16" t="s">
        <v>700</v>
      </c>
      <c r="D4" s="25"/>
      <c r="E4" s="25" t="s">
        <v>701</v>
      </c>
      <c r="F4" s="16" t="s">
        <v>696</v>
      </c>
      <c r="G4" s="102" t="s">
        <v>249</v>
      </c>
      <c r="H4" s="16" t="s">
        <v>250</v>
      </c>
      <c r="I4" s="16" t="s">
        <v>673</v>
      </c>
      <c r="J4" s="16" t="s">
        <v>643</v>
      </c>
      <c r="K4" s="28" t="s">
        <v>572</v>
      </c>
      <c r="L4" s="16" t="s">
        <v>672</v>
      </c>
      <c r="M4" s="28">
        <v>33</v>
      </c>
      <c r="N4" s="38">
        <v>450</v>
      </c>
      <c r="O4" s="102" t="s">
        <v>671</v>
      </c>
      <c r="P4" s="16" t="s">
        <v>674</v>
      </c>
      <c r="Q4" s="16" t="s">
        <v>674</v>
      </c>
      <c r="R4" s="16">
        <v>1</v>
      </c>
      <c r="S4" s="16" t="s">
        <v>64</v>
      </c>
      <c r="T4" s="16" t="s">
        <v>675</v>
      </c>
      <c r="U4" s="16" t="s">
        <v>676</v>
      </c>
      <c r="V4" s="16" t="s">
        <v>677</v>
      </c>
      <c r="W4" s="16">
        <v>70</v>
      </c>
      <c r="X4" s="16" t="s">
        <v>678</v>
      </c>
      <c r="Y4" s="35" t="s">
        <v>71</v>
      </c>
      <c r="Z4" s="16" t="s">
        <v>697</v>
      </c>
      <c r="AA4" s="16"/>
      <c r="AB4" s="16"/>
      <c r="AC4" s="16"/>
      <c r="AD4" s="26"/>
      <c r="AE4" s="26"/>
      <c r="AF4" s="26"/>
      <c r="AG4" s="26"/>
      <c r="AH4" s="26"/>
      <c r="AI4" s="26"/>
      <c r="AJ4" s="36" t="s">
        <v>680</v>
      </c>
      <c r="AK4" s="16"/>
      <c r="AL4" s="26"/>
      <c r="AM4" s="26"/>
      <c r="AN4" s="26"/>
      <c r="AO4" s="26"/>
      <c r="AP4" s="103" t="s">
        <v>679</v>
      </c>
      <c r="AQ4" s="26" t="s">
        <v>695</v>
      </c>
      <c r="AR4" s="26" t="s">
        <v>683</v>
      </c>
      <c r="AS4" s="26" t="s">
        <v>684</v>
      </c>
      <c r="AT4" s="26" t="s">
        <v>685</v>
      </c>
      <c r="AU4" s="26" t="s">
        <v>686</v>
      </c>
      <c r="AV4" s="26" t="s">
        <v>687</v>
      </c>
      <c r="AW4" s="26" t="s">
        <v>688</v>
      </c>
      <c r="AX4" s="26"/>
      <c r="AY4" s="26"/>
      <c r="AZ4" s="16"/>
      <c r="BA4" s="16"/>
      <c r="BB4" s="16" t="s">
        <v>81</v>
      </c>
      <c r="BC4" s="16" t="s">
        <v>681</v>
      </c>
      <c r="BD4" s="16" t="s">
        <v>682</v>
      </c>
      <c r="BE4" s="15"/>
      <c r="BF4" s="16"/>
    </row>
    <row r="5" spans="1:58" ht="45" x14ac:dyDescent="0.25">
      <c r="A5" s="25">
        <v>0</v>
      </c>
      <c r="B5" s="25">
        <v>1</v>
      </c>
      <c r="C5" s="16" t="s">
        <v>699</v>
      </c>
      <c r="D5" s="25"/>
      <c r="E5" s="25" t="s">
        <v>701</v>
      </c>
      <c r="F5" s="16" t="s">
        <v>696</v>
      </c>
      <c r="G5" s="102" t="s">
        <v>249</v>
      </c>
      <c r="H5" s="14" t="s">
        <v>250</v>
      </c>
      <c r="I5" s="16" t="s">
        <v>673</v>
      </c>
      <c r="J5" s="14" t="s">
        <v>643</v>
      </c>
      <c r="K5" s="28" t="s">
        <v>572</v>
      </c>
      <c r="L5" s="16" t="s">
        <v>672</v>
      </c>
      <c r="M5" s="10">
        <v>33</v>
      </c>
      <c r="N5" s="100">
        <v>450</v>
      </c>
      <c r="O5" s="102" t="s">
        <v>671</v>
      </c>
      <c r="P5" s="16" t="s">
        <v>674</v>
      </c>
      <c r="Q5" s="16" t="s">
        <v>674</v>
      </c>
      <c r="R5" s="16">
        <v>1</v>
      </c>
      <c r="S5" s="16" t="s">
        <v>64</v>
      </c>
      <c r="T5" s="16" t="s">
        <v>675</v>
      </c>
      <c r="U5" s="16" t="s">
        <v>676</v>
      </c>
      <c r="V5" s="16" t="s">
        <v>677</v>
      </c>
      <c r="W5" s="16">
        <v>70</v>
      </c>
      <c r="X5" s="16" t="s">
        <v>678</v>
      </c>
      <c r="Y5" s="35" t="s">
        <v>87</v>
      </c>
      <c r="Z5" s="16" t="s">
        <v>698</v>
      </c>
      <c r="AA5" s="14"/>
      <c r="AB5" s="14"/>
      <c r="AC5" s="14"/>
      <c r="AD5" s="76"/>
      <c r="AE5" s="76"/>
      <c r="AF5" s="76"/>
      <c r="AG5" s="76"/>
      <c r="AH5" s="76"/>
      <c r="AI5" s="76"/>
      <c r="AJ5" s="36" t="s">
        <v>680</v>
      </c>
      <c r="AK5" s="14"/>
      <c r="AL5" s="76"/>
      <c r="AM5" s="76"/>
      <c r="AN5" s="76"/>
      <c r="AO5" s="76"/>
      <c r="AP5" s="103" t="s">
        <v>679</v>
      </c>
      <c r="AQ5" s="26" t="s">
        <v>694</v>
      </c>
      <c r="AR5" s="26" t="s">
        <v>689</v>
      </c>
      <c r="AS5" s="26" t="s">
        <v>690</v>
      </c>
      <c r="AT5" s="26" t="s">
        <v>691</v>
      </c>
      <c r="AU5" s="26" t="s">
        <v>692</v>
      </c>
      <c r="AV5" s="26" t="s">
        <v>693</v>
      </c>
      <c r="AW5" s="26" t="s">
        <v>688</v>
      </c>
      <c r="AX5" s="76"/>
      <c r="AY5" s="76"/>
      <c r="AZ5" s="14"/>
      <c r="BA5" s="14"/>
      <c r="BB5" s="14" t="s">
        <v>81</v>
      </c>
      <c r="BC5" s="14" t="s">
        <v>681</v>
      </c>
      <c r="BD5" s="16" t="s">
        <v>682</v>
      </c>
      <c r="BE5" s="101"/>
      <c r="BF5" s="14"/>
    </row>
    <row r="6" spans="1:58" ht="30" x14ac:dyDescent="0.25">
      <c r="A6" s="25">
        <v>1</v>
      </c>
      <c r="B6" s="25" t="s">
        <v>54</v>
      </c>
      <c r="C6" s="26" t="s">
        <v>55</v>
      </c>
      <c r="D6" s="25">
        <v>2014</v>
      </c>
      <c r="E6" s="25" t="s">
        <v>56</v>
      </c>
      <c r="F6" s="16" t="s">
        <v>593</v>
      </c>
      <c r="G6" s="27" t="s">
        <v>57</v>
      </c>
      <c r="H6" s="25" t="s">
        <v>58</v>
      </c>
      <c r="I6" s="16" t="s">
        <v>59</v>
      </c>
      <c r="J6" s="16" t="s">
        <v>643</v>
      </c>
      <c r="K6" s="28" t="s">
        <v>572</v>
      </c>
      <c r="L6" s="26" t="s">
        <v>60</v>
      </c>
      <c r="M6" s="28" t="s">
        <v>61</v>
      </c>
      <c r="N6" s="29">
        <v>250</v>
      </c>
      <c r="O6" s="30" t="s">
        <v>62</v>
      </c>
      <c r="P6" s="31" t="s">
        <v>63</v>
      </c>
      <c r="Q6" s="32" t="s">
        <v>63</v>
      </c>
      <c r="R6" s="32" t="s">
        <v>54</v>
      </c>
      <c r="S6" s="16" t="s">
        <v>64</v>
      </c>
      <c r="T6" s="16" t="s">
        <v>65</v>
      </c>
      <c r="U6" s="16" t="s">
        <v>66</v>
      </c>
      <c r="V6" s="16" t="s">
        <v>66</v>
      </c>
      <c r="W6" s="16">
        <v>200</v>
      </c>
      <c r="X6" s="34" t="s">
        <v>67</v>
      </c>
      <c r="Y6" s="35">
        <v>0</v>
      </c>
      <c r="Z6" s="16" t="s">
        <v>68</v>
      </c>
      <c r="AA6" s="16" t="s">
        <v>69</v>
      </c>
      <c r="AB6" s="32" t="s">
        <v>70</v>
      </c>
      <c r="AC6" s="32" t="s">
        <v>71</v>
      </c>
      <c r="AD6" s="32" t="s">
        <v>72</v>
      </c>
      <c r="AE6" s="32" t="s">
        <v>71</v>
      </c>
      <c r="AF6" s="32" t="s">
        <v>71</v>
      </c>
      <c r="AG6" s="32" t="s">
        <v>73</v>
      </c>
      <c r="AH6" s="32" t="s">
        <v>71</v>
      </c>
      <c r="AI6" s="32" t="s">
        <v>71</v>
      </c>
      <c r="AJ6" s="36" t="s">
        <v>74</v>
      </c>
      <c r="AK6" s="32"/>
      <c r="AL6" s="32" t="s">
        <v>75</v>
      </c>
      <c r="AM6" s="32"/>
      <c r="AN6" s="32"/>
      <c r="AO6" s="32"/>
      <c r="AP6" s="75" t="s">
        <v>76</v>
      </c>
      <c r="AQ6" s="16" t="s">
        <v>77</v>
      </c>
      <c r="AR6" s="28" t="s">
        <v>78</v>
      </c>
      <c r="AS6" s="28" t="s">
        <v>79</v>
      </c>
      <c r="AT6" s="32" t="s">
        <v>80</v>
      </c>
      <c r="AU6" s="32">
        <f>AR6-AS6*1.96</f>
        <v>-7.7119999999999994E-2</v>
      </c>
      <c r="AV6" s="32">
        <f>AR6+AS6*1.96</f>
        <v>0.10711999999999999</v>
      </c>
      <c r="AW6" s="32">
        <v>250</v>
      </c>
      <c r="AX6" s="32"/>
      <c r="AY6" s="32"/>
      <c r="AZ6" s="32" t="s">
        <v>74</v>
      </c>
      <c r="BA6" s="32">
        <v>1</v>
      </c>
      <c r="BB6" s="32" t="s">
        <v>81</v>
      </c>
      <c r="BC6" s="32" t="s">
        <v>82</v>
      </c>
      <c r="BD6" s="16" t="s">
        <v>83</v>
      </c>
      <c r="BE6" s="15"/>
      <c r="BF6" s="26"/>
    </row>
    <row r="7" spans="1:58" ht="30" x14ac:dyDescent="0.25">
      <c r="A7" s="25">
        <v>1</v>
      </c>
      <c r="B7" s="25" t="s">
        <v>54</v>
      </c>
      <c r="C7" s="26" t="s">
        <v>55</v>
      </c>
      <c r="D7" s="25">
        <v>2014</v>
      </c>
      <c r="E7" s="25" t="s">
        <v>56</v>
      </c>
      <c r="F7" s="16" t="s">
        <v>593</v>
      </c>
      <c r="G7" s="27" t="s">
        <v>57</v>
      </c>
      <c r="H7" s="25" t="s">
        <v>58</v>
      </c>
      <c r="I7" s="16" t="s">
        <v>59</v>
      </c>
      <c r="J7" s="16" t="s">
        <v>643</v>
      </c>
      <c r="K7" s="28" t="s">
        <v>572</v>
      </c>
      <c r="L7" s="26" t="s">
        <v>60</v>
      </c>
      <c r="M7" s="28" t="s">
        <v>61</v>
      </c>
      <c r="N7" s="29">
        <v>250</v>
      </c>
      <c r="O7" s="30" t="s">
        <v>84</v>
      </c>
      <c r="P7" s="31" t="s">
        <v>63</v>
      </c>
      <c r="Q7" s="32" t="s">
        <v>63</v>
      </c>
      <c r="R7" s="32" t="s">
        <v>54</v>
      </c>
      <c r="S7" s="16" t="s">
        <v>64</v>
      </c>
      <c r="T7" s="16" t="s">
        <v>85</v>
      </c>
      <c r="U7" s="16" t="s">
        <v>71</v>
      </c>
      <c r="V7" s="16" t="s">
        <v>71</v>
      </c>
      <c r="W7" s="16" t="s">
        <v>86</v>
      </c>
      <c r="X7" s="34" t="s">
        <v>67</v>
      </c>
      <c r="Y7" s="37" t="s">
        <v>87</v>
      </c>
      <c r="Z7" s="16" t="s">
        <v>68</v>
      </c>
      <c r="AA7" s="16" t="s">
        <v>69</v>
      </c>
      <c r="AB7" s="32">
        <v>0.34</v>
      </c>
      <c r="AC7" s="32" t="s">
        <v>71</v>
      </c>
      <c r="AD7" s="32" t="s">
        <v>71</v>
      </c>
      <c r="AE7" s="32" t="s">
        <v>71</v>
      </c>
      <c r="AF7" s="32" t="s">
        <v>71</v>
      </c>
      <c r="AG7" s="32" t="s">
        <v>71</v>
      </c>
      <c r="AH7" s="32" t="s">
        <v>71</v>
      </c>
      <c r="AI7" s="32" t="s">
        <v>71</v>
      </c>
      <c r="AJ7" s="36"/>
      <c r="AK7" s="32"/>
      <c r="AL7" s="32"/>
      <c r="AM7" s="32"/>
      <c r="AN7" s="32"/>
      <c r="AO7" s="32"/>
      <c r="AP7" s="75" t="s">
        <v>88</v>
      </c>
      <c r="AQ7" s="16" t="s">
        <v>77</v>
      </c>
      <c r="AR7" s="28">
        <v>0.11</v>
      </c>
      <c r="AS7" s="28">
        <v>0.05</v>
      </c>
      <c r="AT7" s="32">
        <v>0.1</v>
      </c>
      <c r="AU7" s="32">
        <f>AR7-AS7*1.96</f>
        <v>1.1999999999999997E-2</v>
      </c>
      <c r="AV7" s="32">
        <f>AR7+AS7*1.96</f>
        <v>0.20800000000000002</v>
      </c>
      <c r="AW7" s="32">
        <v>250</v>
      </c>
      <c r="AX7" s="32"/>
      <c r="AY7" s="32"/>
      <c r="AZ7" s="32" t="s">
        <v>74</v>
      </c>
      <c r="BA7" s="32">
        <v>1</v>
      </c>
      <c r="BB7" s="32" t="s">
        <v>81</v>
      </c>
      <c r="BC7" s="32" t="s">
        <v>89</v>
      </c>
      <c r="BD7" s="38" t="s">
        <v>83</v>
      </c>
      <c r="BE7" s="15"/>
      <c r="BF7" s="26"/>
    </row>
    <row r="8" spans="1:58" ht="30" x14ac:dyDescent="0.25">
      <c r="A8" s="25">
        <v>3</v>
      </c>
      <c r="B8" s="25" t="s">
        <v>54</v>
      </c>
      <c r="C8" s="26" t="s">
        <v>90</v>
      </c>
      <c r="D8" s="39">
        <v>2017</v>
      </c>
      <c r="E8" s="39" t="s">
        <v>91</v>
      </c>
      <c r="F8" s="16" t="s">
        <v>594</v>
      </c>
      <c r="G8" s="40" t="s">
        <v>92</v>
      </c>
      <c r="H8" s="39" t="s">
        <v>93</v>
      </c>
      <c r="I8" s="16" t="s">
        <v>94</v>
      </c>
      <c r="J8" s="16" t="s">
        <v>643</v>
      </c>
      <c r="K8" s="28" t="s">
        <v>572</v>
      </c>
      <c r="L8" s="26" t="s">
        <v>95</v>
      </c>
      <c r="M8" s="39" t="s">
        <v>96</v>
      </c>
      <c r="N8" s="29">
        <v>382</v>
      </c>
      <c r="O8" s="30" t="s">
        <v>97</v>
      </c>
      <c r="P8" s="41" t="s">
        <v>98</v>
      </c>
      <c r="Q8" s="32" t="s">
        <v>98</v>
      </c>
      <c r="R8" s="32" t="s">
        <v>54</v>
      </c>
      <c r="S8" s="16" t="s">
        <v>64</v>
      </c>
      <c r="T8" s="16" t="s">
        <v>65</v>
      </c>
      <c r="U8" s="16" t="s">
        <v>99</v>
      </c>
      <c r="V8" s="16" t="s">
        <v>99</v>
      </c>
      <c r="W8" s="16">
        <v>900</v>
      </c>
      <c r="X8" s="42" t="s">
        <v>100</v>
      </c>
      <c r="Y8" s="35" t="s">
        <v>71</v>
      </c>
      <c r="Z8" s="42" t="s">
        <v>101</v>
      </c>
      <c r="AA8" s="42" t="s">
        <v>102</v>
      </c>
      <c r="AB8" s="32" t="s">
        <v>103</v>
      </c>
      <c r="AC8" s="32" t="s">
        <v>104</v>
      </c>
      <c r="AD8" s="32" t="s">
        <v>105</v>
      </c>
      <c r="AE8" s="32" t="s">
        <v>106</v>
      </c>
      <c r="AF8" s="32">
        <v>89</v>
      </c>
      <c r="AG8" s="32" t="s">
        <v>107</v>
      </c>
      <c r="AH8" s="32" t="s">
        <v>108</v>
      </c>
      <c r="AI8" s="32">
        <v>102</v>
      </c>
      <c r="AJ8" s="36" t="s">
        <v>109</v>
      </c>
      <c r="AK8" s="32"/>
      <c r="AL8" s="32" t="s">
        <v>110</v>
      </c>
      <c r="AM8" s="32"/>
      <c r="AN8" s="32"/>
      <c r="AO8" s="32"/>
      <c r="AP8" s="75" t="s">
        <v>111</v>
      </c>
      <c r="AQ8" s="16" t="s">
        <v>112</v>
      </c>
      <c r="AR8" s="28">
        <v>-6.1400000000000003E-2</v>
      </c>
      <c r="AS8" s="28">
        <v>2.7400000000000001E-2</v>
      </c>
      <c r="AT8" s="32"/>
      <c r="AU8" s="32">
        <f>AR8-AS8*1.96</f>
        <v>-0.11510400000000001</v>
      </c>
      <c r="AV8" s="32">
        <f>AR8+AS8*1.96</f>
        <v>-7.6960000000000015E-3</v>
      </c>
      <c r="AW8" s="32">
        <v>191</v>
      </c>
      <c r="AX8" s="32"/>
      <c r="AY8" s="32"/>
      <c r="AZ8" s="32" t="s">
        <v>54</v>
      </c>
      <c r="BA8" s="32">
        <v>1</v>
      </c>
      <c r="BB8" s="32" t="s">
        <v>81</v>
      </c>
      <c r="BC8" s="32" t="s">
        <v>113</v>
      </c>
      <c r="BD8" s="38" t="s">
        <v>114</v>
      </c>
      <c r="BE8" s="15"/>
      <c r="BF8" s="26"/>
    </row>
    <row r="9" spans="1:58" ht="30" x14ac:dyDescent="0.25">
      <c r="A9" s="25">
        <v>7</v>
      </c>
      <c r="B9" s="25" t="s">
        <v>54</v>
      </c>
      <c r="C9" s="26" t="s">
        <v>115</v>
      </c>
      <c r="D9" s="39">
        <v>2017</v>
      </c>
      <c r="E9" s="39" t="s">
        <v>116</v>
      </c>
      <c r="F9" s="16" t="s">
        <v>594</v>
      </c>
      <c r="G9" s="27" t="s">
        <v>117</v>
      </c>
      <c r="H9" s="25" t="s">
        <v>118</v>
      </c>
      <c r="I9" s="16" t="s">
        <v>94</v>
      </c>
      <c r="J9" s="16" t="s">
        <v>643</v>
      </c>
      <c r="K9" s="28" t="s">
        <v>572</v>
      </c>
      <c r="L9" s="26" t="s">
        <v>119</v>
      </c>
      <c r="M9" s="28" t="s">
        <v>120</v>
      </c>
      <c r="N9" s="29">
        <v>334</v>
      </c>
      <c r="O9" s="30" t="s">
        <v>62</v>
      </c>
      <c r="P9" s="31" t="s">
        <v>121</v>
      </c>
      <c r="Q9" s="32" t="s">
        <v>63</v>
      </c>
      <c r="R9" s="32" t="s">
        <v>54</v>
      </c>
      <c r="S9" s="16" t="s">
        <v>64</v>
      </c>
      <c r="T9" s="16" t="s">
        <v>122</v>
      </c>
      <c r="U9" s="16" t="s">
        <v>123</v>
      </c>
      <c r="V9" s="16" t="s">
        <v>124</v>
      </c>
      <c r="W9" s="16">
        <v>20</v>
      </c>
      <c r="X9" s="42" t="s">
        <v>125</v>
      </c>
      <c r="Y9" s="35" t="s">
        <v>126</v>
      </c>
      <c r="Z9" s="43" t="s">
        <v>127</v>
      </c>
      <c r="AA9" s="42"/>
      <c r="AB9" s="32" t="s">
        <v>128</v>
      </c>
      <c r="AC9" s="32" t="s">
        <v>129</v>
      </c>
      <c r="AD9" s="32" t="s">
        <v>130</v>
      </c>
      <c r="AE9" s="32" t="s">
        <v>131</v>
      </c>
      <c r="AF9" s="32" t="s">
        <v>132</v>
      </c>
      <c r="AG9" s="32" t="s">
        <v>133</v>
      </c>
      <c r="AH9" s="32" t="s">
        <v>134</v>
      </c>
      <c r="AI9" s="32" t="s">
        <v>135</v>
      </c>
      <c r="AJ9" s="36" t="s">
        <v>136</v>
      </c>
      <c r="AK9" s="31">
        <f>AG9-AD9</f>
        <v>0.94899999999999984</v>
      </c>
      <c r="AL9" s="31" t="s">
        <v>137</v>
      </c>
      <c r="AM9" s="31">
        <f>(AG9-AD9)-(1.97*ABS(AH9-AE9))</f>
        <v>0.29101999999999972</v>
      </c>
      <c r="AN9" s="31">
        <f>(AG9-AD9)+(1.97*(AH9-AE9))</f>
        <v>1.6069800000000001</v>
      </c>
      <c r="AO9" s="31">
        <f>(AK9-AM9)/2</f>
        <v>0.32899000000000006</v>
      </c>
      <c r="AP9" s="79" t="s">
        <v>554</v>
      </c>
      <c r="AQ9" s="44" t="s">
        <v>139</v>
      </c>
      <c r="AR9" s="28">
        <v>0.70399999999999996</v>
      </c>
      <c r="AS9" s="28"/>
      <c r="AT9" s="32">
        <v>6.0999999999999999E-2</v>
      </c>
      <c r="AU9" s="32"/>
      <c r="AV9" s="32"/>
      <c r="AW9" s="32">
        <v>164</v>
      </c>
      <c r="AX9" s="32"/>
      <c r="AY9" s="32"/>
      <c r="AZ9" s="32" t="s">
        <v>54</v>
      </c>
      <c r="BA9" s="32">
        <v>1</v>
      </c>
      <c r="BB9" s="45" t="s">
        <v>140</v>
      </c>
      <c r="BC9" s="32" t="s">
        <v>141</v>
      </c>
      <c r="BD9" s="38" t="s">
        <v>142</v>
      </c>
      <c r="BE9" s="15"/>
      <c r="BF9" s="26"/>
    </row>
    <row r="10" spans="1:58" ht="30" x14ac:dyDescent="0.25">
      <c r="A10" s="25">
        <v>7</v>
      </c>
      <c r="B10" s="25" t="s">
        <v>87</v>
      </c>
      <c r="C10" s="26" t="s">
        <v>115</v>
      </c>
      <c r="D10" s="39">
        <v>2017</v>
      </c>
      <c r="E10" s="39" t="s">
        <v>116</v>
      </c>
      <c r="F10" s="16" t="s">
        <v>594</v>
      </c>
      <c r="G10" s="27" t="s">
        <v>117</v>
      </c>
      <c r="H10" s="25" t="s">
        <v>118</v>
      </c>
      <c r="I10" s="16" t="s">
        <v>94</v>
      </c>
      <c r="J10" s="16" t="s">
        <v>643</v>
      </c>
      <c r="K10" s="28" t="s">
        <v>572</v>
      </c>
      <c r="L10" s="26" t="s">
        <v>119</v>
      </c>
      <c r="M10" s="28" t="s">
        <v>120</v>
      </c>
      <c r="N10" s="29">
        <v>334</v>
      </c>
      <c r="O10" s="30" t="s">
        <v>62</v>
      </c>
      <c r="P10" s="31" t="s">
        <v>121</v>
      </c>
      <c r="Q10" s="32" t="s">
        <v>63</v>
      </c>
      <c r="R10" s="32" t="s">
        <v>54</v>
      </c>
      <c r="S10" s="16" t="s">
        <v>64</v>
      </c>
      <c r="T10" s="16" t="s">
        <v>122</v>
      </c>
      <c r="U10" s="16" t="s">
        <v>123</v>
      </c>
      <c r="V10" s="16" t="s">
        <v>124</v>
      </c>
      <c r="W10" s="16">
        <v>20</v>
      </c>
      <c r="X10" s="42" t="s">
        <v>125</v>
      </c>
      <c r="Y10" s="37" t="s">
        <v>87</v>
      </c>
      <c r="Z10" s="46" t="s">
        <v>143</v>
      </c>
      <c r="AA10" s="42"/>
      <c r="AB10" s="32" t="s">
        <v>128</v>
      </c>
      <c r="AC10" s="32" t="s">
        <v>129</v>
      </c>
      <c r="AD10" s="32">
        <v>5.851</v>
      </c>
      <c r="AE10" s="32">
        <v>2.1880000000000002</v>
      </c>
      <c r="AF10" s="32">
        <v>74</v>
      </c>
      <c r="AG10" s="32">
        <v>6.4950000000000001</v>
      </c>
      <c r="AH10" s="32">
        <v>2.2290000000000001</v>
      </c>
      <c r="AI10" s="32">
        <v>93</v>
      </c>
      <c r="AJ10" s="36" t="s">
        <v>136</v>
      </c>
      <c r="AK10" s="31"/>
      <c r="AL10" s="31"/>
      <c r="AM10" s="31"/>
      <c r="AN10" s="31"/>
      <c r="AO10" s="31"/>
      <c r="AP10" s="79" t="s">
        <v>554</v>
      </c>
      <c r="AQ10" s="16" t="s">
        <v>144</v>
      </c>
      <c r="AR10" s="28">
        <v>0.182</v>
      </c>
      <c r="AS10" s="28"/>
      <c r="AT10" s="32">
        <v>0.6</v>
      </c>
      <c r="AU10" s="32"/>
      <c r="AV10" s="32"/>
      <c r="AW10" s="32">
        <v>164</v>
      </c>
      <c r="AX10" s="32"/>
      <c r="AY10" s="32"/>
      <c r="AZ10" s="32" t="s">
        <v>54</v>
      </c>
      <c r="BA10" s="32">
        <v>1</v>
      </c>
      <c r="BB10" s="45" t="s">
        <v>140</v>
      </c>
      <c r="BC10" s="32" t="s">
        <v>141</v>
      </c>
      <c r="BD10" s="38" t="s">
        <v>145</v>
      </c>
      <c r="BE10" s="15"/>
      <c r="BF10" s="26" t="s">
        <v>146</v>
      </c>
    </row>
    <row r="11" spans="1:58" ht="30" x14ac:dyDescent="0.25">
      <c r="A11" s="25">
        <v>7</v>
      </c>
      <c r="B11" s="25" t="s">
        <v>54</v>
      </c>
      <c r="C11" s="26" t="s">
        <v>115</v>
      </c>
      <c r="D11" s="39">
        <v>2017</v>
      </c>
      <c r="E11" s="39" t="s">
        <v>116</v>
      </c>
      <c r="F11" s="16" t="s">
        <v>594</v>
      </c>
      <c r="G11" s="27" t="s">
        <v>117</v>
      </c>
      <c r="H11" s="25" t="s">
        <v>118</v>
      </c>
      <c r="I11" s="16" t="s">
        <v>94</v>
      </c>
      <c r="J11" s="16" t="s">
        <v>643</v>
      </c>
      <c r="K11" s="28" t="s">
        <v>572</v>
      </c>
      <c r="L11" s="26" t="s">
        <v>119</v>
      </c>
      <c r="M11" s="28" t="s">
        <v>120</v>
      </c>
      <c r="N11" s="29">
        <v>334</v>
      </c>
      <c r="O11" s="30" t="s">
        <v>84</v>
      </c>
      <c r="P11" s="31" t="s">
        <v>121</v>
      </c>
      <c r="Q11" s="32" t="s">
        <v>63</v>
      </c>
      <c r="R11" s="32" t="s">
        <v>54</v>
      </c>
      <c r="S11" s="16" t="s">
        <v>64</v>
      </c>
      <c r="T11" s="16" t="s">
        <v>122</v>
      </c>
      <c r="U11" s="16" t="s">
        <v>71</v>
      </c>
      <c r="V11" s="16"/>
      <c r="W11" s="16"/>
      <c r="X11" s="42" t="s">
        <v>125</v>
      </c>
      <c r="Y11" s="37" t="s">
        <v>87</v>
      </c>
      <c r="Z11" s="47" t="s">
        <v>127</v>
      </c>
      <c r="AA11" s="42"/>
      <c r="AB11" s="32" t="s">
        <v>128</v>
      </c>
      <c r="AC11" s="32" t="s">
        <v>129</v>
      </c>
      <c r="AD11" s="32">
        <v>0.52730999999999995</v>
      </c>
      <c r="AE11" s="32">
        <v>0.20527000000000001</v>
      </c>
      <c r="AF11" s="32">
        <v>70</v>
      </c>
      <c r="AG11" s="32">
        <v>0.58992</v>
      </c>
      <c r="AH11" s="32">
        <v>0.22128</v>
      </c>
      <c r="AI11" s="32">
        <v>97</v>
      </c>
      <c r="AJ11" s="36" t="s">
        <v>136</v>
      </c>
      <c r="AK11" s="31">
        <f>AG11-AD11</f>
        <v>6.2610000000000054E-2</v>
      </c>
      <c r="AL11" s="31">
        <v>2.8000000000000001E-2</v>
      </c>
      <c r="AM11" s="31">
        <f>(AG11-AD11)-(1.97*(AH11-AE11))</f>
        <v>3.1070300000000065E-2</v>
      </c>
      <c r="AN11" s="31">
        <f>(AG11-AD11)+(1.97*(AH11-AE11))</f>
        <v>9.4149700000000044E-2</v>
      </c>
      <c r="AO11" s="31">
        <f>(AK11-AM11)/2</f>
        <v>1.5769849999999995E-2</v>
      </c>
      <c r="AP11" s="79" t="s">
        <v>555</v>
      </c>
      <c r="AQ11" s="44" t="s">
        <v>139</v>
      </c>
      <c r="AR11" s="28">
        <v>0.42</v>
      </c>
      <c r="AS11" s="28"/>
      <c r="AT11" s="32">
        <v>0.622</v>
      </c>
      <c r="AU11" s="32"/>
      <c r="AV11" s="32"/>
      <c r="AW11" s="32">
        <v>167</v>
      </c>
      <c r="AX11" s="32"/>
      <c r="AY11" s="32"/>
      <c r="AZ11" s="32" t="s">
        <v>54</v>
      </c>
      <c r="BA11" s="32">
        <v>1</v>
      </c>
      <c r="BB11" s="45" t="s">
        <v>140</v>
      </c>
      <c r="BC11" s="32" t="s">
        <v>147</v>
      </c>
      <c r="BD11" s="38" t="s">
        <v>148</v>
      </c>
      <c r="BE11" s="15"/>
      <c r="BF11" s="26"/>
    </row>
    <row r="12" spans="1:58" ht="45" x14ac:dyDescent="0.25">
      <c r="A12" s="25">
        <v>7</v>
      </c>
      <c r="B12" s="25" t="s">
        <v>87</v>
      </c>
      <c r="C12" s="26" t="s">
        <v>115</v>
      </c>
      <c r="D12" s="39">
        <v>2017</v>
      </c>
      <c r="E12" s="39" t="s">
        <v>116</v>
      </c>
      <c r="F12" s="16" t="s">
        <v>594</v>
      </c>
      <c r="G12" s="27" t="s">
        <v>117</v>
      </c>
      <c r="H12" s="25" t="s">
        <v>118</v>
      </c>
      <c r="I12" s="16" t="s">
        <v>94</v>
      </c>
      <c r="J12" s="16" t="s">
        <v>643</v>
      </c>
      <c r="K12" s="28" t="s">
        <v>572</v>
      </c>
      <c r="L12" s="26" t="s">
        <v>119</v>
      </c>
      <c r="M12" s="28" t="s">
        <v>120</v>
      </c>
      <c r="N12" s="29">
        <v>334</v>
      </c>
      <c r="O12" s="30" t="s">
        <v>84</v>
      </c>
      <c r="P12" s="31" t="s">
        <v>121</v>
      </c>
      <c r="Q12" s="32" t="s">
        <v>63</v>
      </c>
      <c r="R12" s="32" t="s">
        <v>54</v>
      </c>
      <c r="S12" s="16" t="s">
        <v>64</v>
      </c>
      <c r="T12" s="16" t="s">
        <v>122</v>
      </c>
      <c r="U12" s="16" t="s">
        <v>71</v>
      </c>
      <c r="V12" s="16"/>
      <c r="W12" s="16"/>
      <c r="X12" s="42" t="s">
        <v>125</v>
      </c>
      <c r="Y12" s="37" t="s">
        <v>126</v>
      </c>
      <c r="Z12" s="46" t="s">
        <v>143</v>
      </c>
      <c r="AA12" s="42"/>
      <c r="AB12" s="32" t="s">
        <v>128</v>
      </c>
      <c r="AC12" s="32" t="s">
        <v>129</v>
      </c>
      <c r="AD12" s="32">
        <v>9.1760000000000002</v>
      </c>
      <c r="AE12" s="32">
        <v>5.569</v>
      </c>
      <c r="AF12" s="32">
        <v>68</v>
      </c>
      <c r="AG12" s="32">
        <v>11.778</v>
      </c>
      <c r="AH12" s="32">
        <v>6.5780000000000003</v>
      </c>
      <c r="AI12" s="32">
        <v>99</v>
      </c>
      <c r="AJ12" s="36" t="s">
        <v>136</v>
      </c>
      <c r="AK12" s="32"/>
      <c r="AL12" s="32">
        <v>8.0000000000000002E-3</v>
      </c>
      <c r="AM12" s="32"/>
      <c r="AN12" s="32"/>
      <c r="AO12" s="32"/>
      <c r="AP12" s="79" t="s">
        <v>555</v>
      </c>
      <c r="AQ12" s="16" t="s">
        <v>144</v>
      </c>
      <c r="AR12" s="28">
        <v>1.7310000000000001</v>
      </c>
      <c r="AS12" s="28"/>
      <c r="AT12" s="32">
        <v>5.1999999999999998E-2</v>
      </c>
      <c r="AU12" s="32"/>
      <c r="AV12" s="32"/>
      <c r="AW12" s="32">
        <v>167</v>
      </c>
      <c r="AX12" s="32"/>
      <c r="AY12" s="32"/>
      <c r="AZ12" s="32" t="s">
        <v>54</v>
      </c>
      <c r="BA12" s="32">
        <v>1</v>
      </c>
      <c r="BB12" s="45" t="s">
        <v>140</v>
      </c>
      <c r="BC12" s="32" t="s">
        <v>147</v>
      </c>
      <c r="BD12" s="38" t="s">
        <v>149</v>
      </c>
      <c r="BE12" s="15" t="s">
        <v>150</v>
      </c>
      <c r="BF12" s="26" t="s">
        <v>146</v>
      </c>
    </row>
    <row r="13" spans="1:58" ht="30" x14ac:dyDescent="0.25">
      <c r="A13" s="25">
        <v>8</v>
      </c>
      <c r="B13" s="25" t="s">
        <v>87</v>
      </c>
      <c r="C13" s="26" t="s">
        <v>151</v>
      </c>
      <c r="D13" s="25">
        <v>2011</v>
      </c>
      <c r="E13" s="25" t="s">
        <v>152</v>
      </c>
      <c r="F13" s="16" t="s">
        <v>595</v>
      </c>
      <c r="G13" s="27" t="s">
        <v>153</v>
      </c>
      <c r="H13" s="25" t="s">
        <v>154</v>
      </c>
      <c r="I13" s="16" t="s">
        <v>155</v>
      </c>
      <c r="J13" s="16" t="s">
        <v>643</v>
      </c>
      <c r="K13" s="28" t="s">
        <v>572</v>
      </c>
      <c r="L13" s="26" t="s">
        <v>156</v>
      </c>
      <c r="M13" s="28" t="s">
        <v>157</v>
      </c>
      <c r="N13" s="29">
        <v>389</v>
      </c>
      <c r="O13" s="30" t="s">
        <v>97</v>
      </c>
      <c r="P13" s="41" t="s">
        <v>158</v>
      </c>
      <c r="Q13" s="28" t="s">
        <v>98</v>
      </c>
      <c r="R13" s="32" t="s">
        <v>54</v>
      </c>
      <c r="S13" s="16" t="s">
        <v>64</v>
      </c>
      <c r="T13" s="16" t="s">
        <v>65</v>
      </c>
      <c r="U13" s="16" t="s">
        <v>159</v>
      </c>
      <c r="V13" s="16" t="s">
        <v>159</v>
      </c>
      <c r="W13" s="16">
        <v>40</v>
      </c>
      <c r="X13" s="48" t="s">
        <v>160</v>
      </c>
      <c r="Y13" s="32">
        <v>0</v>
      </c>
      <c r="Z13" s="48" t="s">
        <v>161</v>
      </c>
      <c r="AA13" s="49"/>
      <c r="AB13" s="32" t="s">
        <v>73</v>
      </c>
      <c r="AC13" s="32" t="s">
        <v>162</v>
      </c>
      <c r="AD13" s="32"/>
      <c r="AE13" s="32"/>
      <c r="AF13" s="32"/>
      <c r="AG13" s="32"/>
      <c r="AH13" s="32"/>
      <c r="AI13" s="32"/>
      <c r="AJ13" s="36"/>
      <c r="AK13" s="32"/>
      <c r="AL13" s="32"/>
      <c r="AM13" s="32"/>
      <c r="AN13" s="32"/>
      <c r="AO13" s="32"/>
      <c r="AP13" s="79" t="s">
        <v>138</v>
      </c>
      <c r="AQ13" s="16" t="s">
        <v>163</v>
      </c>
      <c r="AR13" s="51" t="s">
        <v>164</v>
      </c>
      <c r="AS13" s="28"/>
      <c r="AT13" s="32" t="s">
        <v>165</v>
      </c>
      <c r="AU13" s="32"/>
      <c r="AV13" s="32"/>
      <c r="AW13" s="32">
        <v>384</v>
      </c>
      <c r="AX13" s="32"/>
      <c r="AY13" s="32"/>
      <c r="AZ13" s="32" t="s">
        <v>54</v>
      </c>
      <c r="BA13" s="32">
        <v>1</v>
      </c>
      <c r="BB13" s="32" t="s">
        <v>81</v>
      </c>
      <c r="BC13" s="32" t="s">
        <v>82</v>
      </c>
      <c r="BD13" s="38" t="s">
        <v>166</v>
      </c>
      <c r="BE13" s="15"/>
      <c r="BF13" s="26" t="s">
        <v>167</v>
      </c>
    </row>
    <row r="14" spans="1:58" ht="30" x14ac:dyDescent="0.25">
      <c r="A14" s="25">
        <v>8</v>
      </c>
      <c r="B14" s="25" t="s">
        <v>87</v>
      </c>
      <c r="C14" s="26" t="s">
        <v>151</v>
      </c>
      <c r="D14" s="25">
        <v>2011</v>
      </c>
      <c r="E14" s="25" t="s">
        <v>152</v>
      </c>
      <c r="F14" s="16" t="s">
        <v>595</v>
      </c>
      <c r="G14" s="27" t="s">
        <v>153</v>
      </c>
      <c r="H14" s="25" t="s">
        <v>154</v>
      </c>
      <c r="I14" s="16" t="s">
        <v>155</v>
      </c>
      <c r="J14" s="16" t="s">
        <v>643</v>
      </c>
      <c r="K14" s="28" t="s">
        <v>572</v>
      </c>
      <c r="L14" s="26" t="s">
        <v>156</v>
      </c>
      <c r="M14" s="28" t="s">
        <v>157</v>
      </c>
      <c r="N14" s="29">
        <v>389</v>
      </c>
      <c r="O14" s="30" t="s">
        <v>62</v>
      </c>
      <c r="P14" s="31" t="s">
        <v>121</v>
      </c>
      <c r="Q14" s="28" t="s">
        <v>63</v>
      </c>
      <c r="R14" s="32" t="s">
        <v>54</v>
      </c>
      <c r="S14" s="16" t="s">
        <v>64</v>
      </c>
      <c r="T14" s="16" t="s">
        <v>65</v>
      </c>
      <c r="U14" s="16" t="s">
        <v>168</v>
      </c>
      <c r="V14" s="16" t="s">
        <v>168</v>
      </c>
      <c r="W14" s="16">
        <v>50</v>
      </c>
      <c r="X14" s="48" t="s">
        <v>160</v>
      </c>
      <c r="Y14" s="32" t="s">
        <v>169</v>
      </c>
      <c r="Z14" s="48" t="s">
        <v>161</v>
      </c>
      <c r="AA14" s="48" t="s">
        <v>170</v>
      </c>
      <c r="AB14" s="32" t="s">
        <v>171</v>
      </c>
      <c r="AC14" s="32" t="s">
        <v>172</v>
      </c>
      <c r="AD14" s="32"/>
      <c r="AE14" s="32"/>
      <c r="AF14" s="32"/>
      <c r="AG14" s="32"/>
      <c r="AH14" s="32"/>
      <c r="AI14" s="32"/>
      <c r="AJ14" s="36"/>
      <c r="AK14" s="32"/>
      <c r="AL14" s="32"/>
      <c r="AM14" s="32"/>
      <c r="AN14" s="32"/>
      <c r="AO14" s="32"/>
      <c r="AP14" s="79" t="s">
        <v>138</v>
      </c>
      <c r="AQ14" s="16" t="s">
        <v>163</v>
      </c>
      <c r="AR14" s="51" t="s">
        <v>173</v>
      </c>
      <c r="AS14" s="28"/>
      <c r="AT14" s="32" t="s">
        <v>174</v>
      </c>
      <c r="AU14" s="32"/>
      <c r="AV14" s="32"/>
      <c r="AW14" s="32">
        <v>384</v>
      </c>
      <c r="AX14" s="32"/>
      <c r="AY14" s="32"/>
      <c r="AZ14" s="32" t="s">
        <v>54</v>
      </c>
      <c r="BA14" s="32">
        <v>1</v>
      </c>
      <c r="BB14" s="32" t="s">
        <v>81</v>
      </c>
      <c r="BC14" s="32" t="s">
        <v>82</v>
      </c>
      <c r="BD14" s="38" t="s">
        <v>166</v>
      </c>
      <c r="BE14" s="15"/>
      <c r="BF14" s="26" t="s">
        <v>167</v>
      </c>
    </row>
    <row r="15" spans="1:58" ht="30" x14ac:dyDescent="0.25">
      <c r="A15" s="25">
        <v>8</v>
      </c>
      <c r="B15" s="25" t="s">
        <v>87</v>
      </c>
      <c r="C15" s="26" t="s">
        <v>151</v>
      </c>
      <c r="D15" s="25">
        <v>2011</v>
      </c>
      <c r="E15" s="25" t="s">
        <v>152</v>
      </c>
      <c r="F15" s="16" t="s">
        <v>595</v>
      </c>
      <c r="G15" s="27" t="s">
        <v>153</v>
      </c>
      <c r="H15" s="25" t="s">
        <v>154</v>
      </c>
      <c r="I15" s="16" t="s">
        <v>155</v>
      </c>
      <c r="J15" s="16" t="s">
        <v>643</v>
      </c>
      <c r="K15" s="28" t="s">
        <v>572</v>
      </c>
      <c r="L15" s="26" t="s">
        <v>156</v>
      </c>
      <c r="M15" s="28" t="s">
        <v>157</v>
      </c>
      <c r="N15" s="29">
        <v>389</v>
      </c>
      <c r="O15" s="30" t="s">
        <v>84</v>
      </c>
      <c r="P15" s="31" t="s">
        <v>121</v>
      </c>
      <c r="Q15" s="28" t="s">
        <v>63</v>
      </c>
      <c r="R15" s="32" t="s">
        <v>54</v>
      </c>
      <c r="S15" s="16" t="s">
        <v>64</v>
      </c>
      <c r="T15" s="16" t="s">
        <v>65</v>
      </c>
      <c r="U15" s="16" t="s">
        <v>71</v>
      </c>
      <c r="V15" s="16" t="s">
        <v>71</v>
      </c>
      <c r="W15" s="16" t="s">
        <v>86</v>
      </c>
      <c r="X15" s="48" t="s">
        <v>160</v>
      </c>
      <c r="Y15" s="32" t="s">
        <v>169</v>
      </c>
      <c r="Z15" s="48" t="s">
        <v>161</v>
      </c>
      <c r="AA15" s="48" t="s">
        <v>170</v>
      </c>
      <c r="AB15" s="32">
        <v>0.41</v>
      </c>
      <c r="AC15" s="32">
        <v>0.28999999999999998</v>
      </c>
      <c r="AD15" s="32"/>
      <c r="AE15" s="32"/>
      <c r="AF15" s="32"/>
      <c r="AG15" s="32"/>
      <c r="AH15" s="32"/>
      <c r="AI15" s="32"/>
      <c r="AJ15" s="36"/>
      <c r="AK15" s="32"/>
      <c r="AL15" s="32"/>
      <c r="AM15" s="32"/>
      <c r="AN15" s="32"/>
      <c r="AO15" s="32"/>
      <c r="AP15" s="79" t="s">
        <v>175</v>
      </c>
      <c r="AQ15" s="16" t="s">
        <v>163</v>
      </c>
      <c r="AR15" s="51" t="s">
        <v>176</v>
      </c>
      <c r="AS15" s="28"/>
      <c r="AT15" s="32" t="s">
        <v>177</v>
      </c>
      <c r="AU15" s="32"/>
      <c r="AV15" s="32"/>
      <c r="AW15" s="32">
        <v>367</v>
      </c>
      <c r="AX15" s="32"/>
      <c r="AY15" s="32"/>
      <c r="AZ15" s="32" t="s">
        <v>54</v>
      </c>
      <c r="BA15" s="32">
        <v>1</v>
      </c>
      <c r="BB15" s="32" t="s">
        <v>81</v>
      </c>
      <c r="BC15" s="32" t="s">
        <v>82</v>
      </c>
      <c r="BD15" s="38" t="s">
        <v>166</v>
      </c>
      <c r="BE15" s="15"/>
      <c r="BF15" s="26" t="s">
        <v>167</v>
      </c>
    </row>
    <row r="16" spans="1:58" ht="45" x14ac:dyDescent="0.25">
      <c r="A16" s="32">
        <v>9</v>
      </c>
      <c r="B16" s="32">
        <v>1</v>
      </c>
      <c r="C16" s="26" t="s">
        <v>178</v>
      </c>
      <c r="D16" s="25" t="s">
        <v>179</v>
      </c>
      <c r="E16" s="25" t="s">
        <v>180</v>
      </c>
      <c r="F16" s="16" t="s">
        <v>596</v>
      </c>
      <c r="G16" s="27" t="s">
        <v>181</v>
      </c>
      <c r="H16" s="25" t="s">
        <v>182</v>
      </c>
      <c r="I16" s="26" t="s">
        <v>183</v>
      </c>
      <c r="J16" s="26" t="s">
        <v>644</v>
      </c>
      <c r="K16" s="28" t="s">
        <v>572</v>
      </c>
      <c r="L16" s="26" t="s">
        <v>184</v>
      </c>
      <c r="M16" s="28" t="s">
        <v>185</v>
      </c>
      <c r="N16" s="32">
        <v>256</v>
      </c>
      <c r="O16" s="30" t="s">
        <v>97</v>
      </c>
      <c r="P16" s="41" t="s">
        <v>186</v>
      </c>
      <c r="Q16" s="28" t="s">
        <v>98</v>
      </c>
      <c r="R16" s="32" t="s">
        <v>87</v>
      </c>
      <c r="S16" s="16" t="s">
        <v>64</v>
      </c>
      <c r="T16" s="16" t="s">
        <v>65</v>
      </c>
      <c r="U16" s="16" t="s">
        <v>187</v>
      </c>
      <c r="V16" s="16" t="s">
        <v>188</v>
      </c>
      <c r="W16" s="16">
        <v>50</v>
      </c>
      <c r="X16" s="84" t="s">
        <v>189</v>
      </c>
      <c r="Y16" s="37" t="s">
        <v>87</v>
      </c>
      <c r="Z16" s="52" t="s">
        <v>190</v>
      </c>
      <c r="AA16" s="16"/>
      <c r="AB16" s="32"/>
      <c r="AC16" s="32"/>
      <c r="AD16" s="32"/>
      <c r="AE16" s="32"/>
      <c r="AF16" s="32"/>
      <c r="AG16" s="32"/>
      <c r="AH16" s="32"/>
      <c r="AI16" s="32"/>
      <c r="AJ16" s="36"/>
      <c r="AK16" s="32"/>
      <c r="AL16" s="32"/>
      <c r="AM16" s="32"/>
      <c r="AN16" s="32"/>
      <c r="AO16" s="32"/>
      <c r="AP16" s="75" t="s">
        <v>191</v>
      </c>
      <c r="AQ16" s="16" t="s">
        <v>547</v>
      </c>
      <c r="AR16" s="28">
        <v>1.2999999999999999E-2</v>
      </c>
      <c r="AS16" s="28">
        <v>3.5999999999999997E-2</v>
      </c>
      <c r="AT16" s="32"/>
      <c r="AU16" s="32">
        <f t="shared" ref="AU16:AU21" si="0">AR16-AS16*1.96</f>
        <v>-5.756E-2</v>
      </c>
      <c r="AV16" s="32">
        <f t="shared" ref="AV16:AV21" si="1">AR16+AS16*1.96</f>
        <v>8.3559999999999995E-2</v>
      </c>
      <c r="AW16" s="32">
        <v>512</v>
      </c>
      <c r="AX16" s="32"/>
      <c r="AY16" s="32"/>
      <c r="AZ16" s="32" t="s">
        <v>54</v>
      </c>
      <c r="BA16" s="32">
        <v>1</v>
      </c>
      <c r="BB16" s="32" t="s">
        <v>81</v>
      </c>
      <c r="BC16" s="32" t="s">
        <v>192</v>
      </c>
      <c r="BD16" s="38" t="s">
        <v>193</v>
      </c>
      <c r="BE16" s="15"/>
      <c r="BF16" s="16"/>
    </row>
    <row r="17" spans="1:58" ht="45" x14ac:dyDescent="0.25">
      <c r="A17" s="32">
        <v>9</v>
      </c>
      <c r="B17" s="32">
        <v>0</v>
      </c>
      <c r="C17" s="26" t="s">
        <v>178</v>
      </c>
      <c r="D17" s="25" t="s">
        <v>179</v>
      </c>
      <c r="E17" s="25" t="s">
        <v>180</v>
      </c>
      <c r="F17" s="16" t="s">
        <v>596</v>
      </c>
      <c r="G17" s="27" t="s">
        <v>181</v>
      </c>
      <c r="H17" s="25" t="s">
        <v>182</v>
      </c>
      <c r="I17" s="26" t="s">
        <v>183</v>
      </c>
      <c r="J17" s="26" t="s">
        <v>644</v>
      </c>
      <c r="K17" s="28" t="s">
        <v>572</v>
      </c>
      <c r="L17" s="26" t="s">
        <v>184</v>
      </c>
      <c r="M17" s="28" t="s">
        <v>185</v>
      </c>
      <c r="N17" s="32">
        <v>256</v>
      </c>
      <c r="O17" s="30" t="s">
        <v>97</v>
      </c>
      <c r="P17" s="41" t="s">
        <v>186</v>
      </c>
      <c r="Q17" s="28" t="s">
        <v>98</v>
      </c>
      <c r="R17" s="32" t="s">
        <v>87</v>
      </c>
      <c r="S17" s="16" t="s">
        <v>64</v>
      </c>
      <c r="T17" s="16" t="s">
        <v>65</v>
      </c>
      <c r="U17" s="16" t="s">
        <v>187</v>
      </c>
      <c r="V17" s="16" t="s">
        <v>188</v>
      </c>
      <c r="W17" s="16">
        <v>50</v>
      </c>
      <c r="X17" s="84"/>
      <c r="Y17" s="35" t="s">
        <v>126</v>
      </c>
      <c r="Z17" s="15" t="s">
        <v>194</v>
      </c>
      <c r="AA17" s="16"/>
      <c r="AB17" s="32"/>
      <c r="AC17" s="32"/>
      <c r="AD17" s="32"/>
      <c r="AE17" s="32"/>
      <c r="AF17" s="32"/>
      <c r="AG17" s="32"/>
      <c r="AH17" s="32"/>
      <c r="AI17" s="32"/>
      <c r="AJ17" s="36"/>
      <c r="AK17" s="32"/>
      <c r="AL17" s="32"/>
      <c r="AM17" s="32"/>
      <c r="AN17" s="32"/>
      <c r="AO17" s="32"/>
      <c r="AP17" s="75" t="s">
        <v>191</v>
      </c>
      <c r="AQ17" s="16" t="s">
        <v>195</v>
      </c>
      <c r="AR17" s="28">
        <v>9.7000000000000003E-2</v>
      </c>
      <c r="AS17" s="28">
        <v>4.2999999999999997E-2</v>
      </c>
      <c r="AT17" s="32"/>
      <c r="AU17" s="32">
        <f t="shared" si="0"/>
        <v>1.2720000000000009E-2</v>
      </c>
      <c r="AV17" s="32">
        <f t="shared" si="1"/>
        <v>0.18128</v>
      </c>
      <c r="AW17" s="32">
        <v>512</v>
      </c>
      <c r="AX17" s="32"/>
      <c r="AY17" s="32"/>
      <c r="AZ17" s="32" t="s">
        <v>54</v>
      </c>
      <c r="BA17" s="32">
        <v>1</v>
      </c>
      <c r="BB17" s="32" t="s">
        <v>81</v>
      </c>
      <c r="BC17" s="32" t="s">
        <v>196</v>
      </c>
      <c r="BD17" s="38" t="s">
        <v>193</v>
      </c>
      <c r="BE17" s="15"/>
      <c r="BF17" s="26" t="s">
        <v>146</v>
      </c>
    </row>
    <row r="18" spans="1:58" ht="105" x14ac:dyDescent="0.25">
      <c r="A18" s="28">
        <v>56</v>
      </c>
      <c r="B18" s="28">
        <v>1</v>
      </c>
      <c r="C18" s="16" t="s">
        <v>406</v>
      </c>
      <c r="D18" s="28">
        <v>2017</v>
      </c>
      <c r="E18" s="28" t="s">
        <v>407</v>
      </c>
      <c r="F18" s="16" t="s">
        <v>607</v>
      </c>
      <c r="G18" s="63" t="s">
        <v>262</v>
      </c>
      <c r="H18" s="28" t="s">
        <v>263</v>
      </c>
      <c r="I18" s="16" t="s">
        <v>408</v>
      </c>
      <c r="J18" s="16" t="s">
        <v>645</v>
      </c>
      <c r="K18" s="28" t="s">
        <v>572</v>
      </c>
      <c r="L18" s="16" t="s">
        <v>409</v>
      </c>
      <c r="M18" s="32">
        <v>48</v>
      </c>
      <c r="N18" s="32">
        <v>4610</v>
      </c>
      <c r="O18" s="30" t="s">
        <v>62</v>
      </c>
      <c r="P18" s="53" t="s">
        <v>197</v>
      </c>
      <c r="Q18" s="32" t="s">
        <v>197</v>
      </c>
      <c r="R18" s="32">
        <v>0</v>
      </c>
      <c r="S18" s="16" t="s">
        <v>410</v>
      </c>
      <c r="T18" s="16" t="s">
        <v>411</v>
      </c>
      <c r="U18" s="16" t="s">
        <v>412</v>
      </c>
      <c r="V18" s="16" t="s">
        <v>413</v>
      </c>
      <c r="W18" s="16" t="s">
        <v>86</v>
      </c>
      <c r="X18" s="48" t="s">
        <v>414</v>
      </c>
      <c r="Y18" s="32">
        <v>0</v>
      </c>
      <c r="Z18" s="16" t="s">
        <v>415</v>
      </c>
      <c r="AA18" s="16"/>
      <c r="AB18" s="32"/>
      <c r="AC18" s="32"/>
      <c r="AD18" s="32"/>
      <c r="AE18" s="32"/>
      <c r="AF18" s="32"/>
      <c r="AG18" s="32"/>
      <c r="AH18" s="32"/>
      <c r="AI18" s="32"/>
      <c r="AJ18" s="36"/>
      <c r="AK18" s="32"/>
      <c r="AL18" s="32"/>
      <c r="AM18" s="32"/>
      <c r="AN18" s="32"/>
      <c r="AO18" s="32"/>
      <c r="AP18" s="75" t="s">
        <v>416</v>
      </c>
      <c r="AQ18" s="16" t="s">
        <v>417</v>
      </c>
      <c r="AR18" s="28">
        <v>-1E-3</v>
      </c>
      <c r="AS18" s="28">
        <v>1E-3</v>
      </c>
      <c r="AT18" s="32"/>
      <c r="AU18" s="32">
        <f t="shared" si="0"/>
        <v>-2.96E-3</v>
      </c>
      <c r="AV18" s="32">
        <f t="shared" si="1"/>
        <v>9.5999999999999992E-4</v>
      </c>
      <c r="AW18" s="32">
        <v>4610</v>
      </c>
      <c r="AX18" s="32">
        <v>0.38</v>
      </c>
      <c r="AY18" s="32">
        <v>19.625</v>
      </c>
      <c r="AZ18" s="32">
        <v>1</v>
      </c>
      <c r="BA18" s="32">
        <v>1</v>
      </c>
      <c r="BB18" s="32" t="s">
        <v>81</v>
      </c>
      <c r="BC18" s="32" t="s">
        <v>418</v>
      </c>
      <c r="BD18" s="38"/>
      <c r="BE18" s="15"/>
      <c r="BF18" s="16"/>
    </row>
    <row r="19" spans="1:58" x14ac:dyDescent="0.25">
      <c r="A19" s="28">
        <v>57</v>
      </c>
      <c r="B19" s="28">
        <v>1</v>
      </c>
      <c r="C19" s="16" t="s">
        <v>609</v>
      </c>
      <c r="D19" s="28">
        <v>2020</v>
      </c>
      <c r="E19" s="28" t="s">
        <v>608</v>
      </c>
      <c r="F19" s="59" t="s">
        <v>618</v>
      </c>
      <c r="G19" s="63" t="s">
        <v>249</v>
      </c>
      <c r="H19" s="28" t="s">
        <v>250</v>
      </c>
      <c r="I19" s="16" t="s">
        <v>419</v>
      </c>
      <c r="J19" s="16" t="s">
        <v>643</v>
      </c>
      <c r="K19" s="28" t="s">
        <v>572</v>
      </c>
      <c r="L19" s="16" t="s">
        <v>420</v>
      </c>
      <c r="M19" s="32">
        <v>0</v>
      </c>
      <c r="N19" s="32">
        <v>2352</v>
      </c>
      <c r="O19" s="91" t="s">
        <v>619</v>
      </c>
      <c r="P19" s="53" t="s">
        <v>197</v>
      </c>
      <c r="Q19" s="32" t="s">
        <v>197</v>
      </c>
      <c r="R19" s="32">
        <v>0</v>
      </c>
      <c r="S19" s="16" t="s">
        <v>421</v>
      </c>
      <c r="T19" s="16" t="s">
        <v>422</v>
      </c>
      <c r="U19" s="16" t="s">
        <v>71</v>
      </c>
      <c r="V19" s="28" t="s">
        <v>71</v>
      </c>
      <c r="W19" s="16" t="s">
        <v>86</v>
      </c>
      <c r="X19" s="49"/>
      <c r="Y19" s="32" t="s">
        <v>71</v>
      </c>
      <c r="Z19" s="46" t="s">
        <v>423</v>
      </c>
      <c r="AA19" s="16"/>
      <c r="AB19" s="32"/>
      <c r="AC19" s="32"/>
      <c r="AD19" s="32"/>
      <c r="AE19" s="32"/>
      <c r="AF19" s="32"/>
      <c r="AG19" s="32"/>
      <c r="AH19" s="32"/>
      <c r="AI19" s="32"/>
      <c r="AJ19" s="36"/>
      <c r="AK19" s="32"/>
      <c r="AL19" s="32"/>
      <c r="AM19" s="32"/>
      <c r="AN19" s="32"/>
      <c r="AO19" s="32"/>
      <c r="AP19" s="75" t="s">
        <v>424</v>
      </c>
      <c r="AQ19" s="16" t="s">
        <v>425</v>
      </c>
      <c r="AR19" s="28" t="s">
        <v>426</v>
      </c>
      <c r="AS19" s="28" t="s">
        <v>79</v>
      </c>
      <c r="AT19" s="32" t="s">
        <v>78</v>
      </c>
      <c r="AU19" s="32">
        <f t="shared" si="0"/>
        <v>-0.20712</v>
      </c>
      <c r="AV19" s="32">
        <f t="shared" si="1"/>
        <v>-2.2880000000000011E-2</v>
      </c>
      <c r="AW19" s="32">
        <v>2352</v>
      </c>
      <c r="AX19" s="32"/>
      <c r="AY19" s="32"/>
      <c r="AZ19" s="32">
        <v>0</v>
      </c>
      <c r="BA19" s="32">
        <v>0</v>
      </c>
      <c r="BB19" s="32" t="s">
        <v>81</v>
      </c>
      <c r="BC19" s="32" t="s">
        <v>366</v>
      </c>
      <c r="BD19" s="38"/>
      <c r="BE19" s="15"/>
      <c r="BF19" s="16"/>
    </row>
    <row r="20" spans="1:58" ht="30" x14ac:dyDescent="0.25">
      <c r="A20" s="32">
        <v>11</v>
      </c>
      <c r="B20" s="32">
        <v>1</v>
      </c>
      <c r="C20" s="26" t="s">
        <v>208</v>
      </c>
      <c r="D20" s="25" t="s">
        <v>209</v>
      </c>
      <c r="E20" s="25" t="s">
        <v>210</v>
      </c>
      <c r="F20" s="16" t="s">
        <v>597</v>
      </c>
      <c r="G20" s="27" t="s">
        <v>211</v>
      </c>
      <c r="H20" s="25" t="s">
        <v>212</v>
      </c>
      <c r="I20" s="16" t="s">
        <v>213</v>
      </c>
      <c r="J20" s="16" t="s">
        <v>645</v>
      </c>
      <c r="K20" s="28" t="s">
        <v>572</v>
      </c>
      <c r="L20" s="26" t="s">
        <v>214</v>
      </c>
      <c r="M20" s="28" t="s">
        <v>215</v>
      </c>
      <c r="N20" s="29">
        <v>236</v>
      </c>
      <c r="O20" s="30" t="s">
        <v>62</v>
      </c>
      <c r="P20" s="31" t="s">
        <v>121</v>
      </c>
      <c r="Q20" s="28" t="s">
        <v>63</v>
      </c>
      <c r="R20" s="32" t="s">
        <v>54</v>
      </c>
      <c r="S20" s="16" t="s">
        <v>64</v>
      </c>
      <c r="T20" s="16" t="s">
        <v>554</v>
      </c>
      <c r="U20" s="16" t="s">
        <v>217</v>
      </c>
      <c r="V20" s="16" t="s">
        <v>218</v>
      </c>
      <c r="W20" s="16">
        <v>6</v>
      </c>
      <c r="X20" s="42" t="s">
        <v>219</v>
      </c>
      <c r="Y20" s="28">
        <v>0</v>
      </c>
      <c r="Z20" s="42" t="s">
        <v>220</v>
      </c>
      <c r="AA20" s="42"/>
      <c r="AB20" s="32"/>
      <c r="AC20" s="32"/>
      <c r="AD20" s="32" t="s">
        <v>221</v>
      </c>
      <c r="AE20" s="32" t="s">
        <v>222</v>
      </c>
      <c r="AF20" s="32" t="s">
        <v>223</v>
      </c>
      <c r="AG20" s="32" t="s">
        <v>224</v>
      </c>
      <c r="AH20" s="32" t="s">
        <v>225</v>
      </c>
      <c r="AI20" s="32" t="s">
        <v>226</v>
      </c>
      <c r="AJ20" s="36" t="s">
        <v>109</v>
      </c>
      <c r="AK20" s="32"/>
      <c r="AL20" s="32" t="s">
        <v>227</v>
      </c>
      <c r="AM20" s="32"/>
      <c r="AN20" s="32"/>
      <c r="AO20" s="32"/>
      <c r="AP20" s="75" t="s">
        <v>64</v>
      </c>
      <c r="AQ20" s="16" t="s">
        <v>228</v>
      </c>
      <c r="AR20" s="28">
        <v>9.7000000000000003E-2</v>
      </c>
      <c r="AS20" s="28">
        <v>0.34200000000000003</v>
      </c>
      <c r="AT20" s="32"/>
      <c r="AU20" s="32">
        <f t="shared" si="0"/>
        <v>-0.57332000000000005</v>
      </c>
      <c r="AV20" s="32">
        <f t="shared" si="1"/>
        <v>0.76732</v>
      </c>
      <c r="AW20" s="32">
        <v>120</v>
      </c>
      <c r="AX20" s="32"/>
      <c r="AY20" s="32"/>
      <c r="AZ20" s="32" t="s">
        <v>54</v>
      </c>
      <c r="BA20" s="32">
        <v>1</v>
      </c>
      <c r="BB20" s="32" t="s">
        <v>81</v>
      </c>
      <c r="BC20" s="32" t="s">
        <v>229</v>
      </c>
      <c r="BD20" s="38" t="s">
        <v>230</v>
      </c>
      <c r="BE20" s="15"/>
      <c r="BF20" s="16"/>
    </row>
    <row r="21" spans="1:58" ht="30" x14ac:dyDescent="0.25">
      <c r="A21" s="32">
        <v>11</v>
      </c>
      <c r="B21" s="32">
        <v>1</v>
      </c>
      <c r="C21" s="26" t="s">
        <v>208</v>
      </c>
      <c r="D21" s="25" t="s">
        <v>209</v>
      </c>
      <c r="E21" s="25" t="s">
        <v>210</v>
      </c>
      <c r="F21" s="16" t="s">
        <v>597</v>
      </c>
      <c r="G21" s="27" t="s">
        <v>211</v>
      </c>
      <c r="H21" s="25" t="s">
        <v>212</v>
      </c>
      <c r="I21" s="16" t="s">
        <v>213</v>
      </c>
      <c r="J21" s="16" t="s">
        <v>645</v>
      </c>
      <c r="K21" s="28" t="s">
        <v>572</v>
      </c>
      <c r="L21" s="26" t="s">
        <v>214</v>
      </c>
      <c r="M21" s="28" t="s">
        <v>215</v>
      </c>
      <c r="N21" s="29">
        <v>236</v>
      </c>
      <c r="O21" s="30" t="s">
        <v>84</v>
      </c>
      <c r="P21" s="31" t="s">
        <v>121</v>
      </c>
      <c r="Q21" s="28" t="s">
        <v>63</v>
      </c>
      <c r="R21" s="32" t="s">
        <v>54</v>
      </c>
      <c r="S21" s="16" t="s">
        <v>64</v>
      </c>
      <c r="T21" s="16" t="s">
        <v>216</v>
      </c>
      <c r="U21" s="16" t="s">
        <v>71</v>
      </c>
      <c r="V21" s="16" t="s">
        <v>71</v>
      </c>
      <c r="W21" s="16" t="s">
        <v>86</v>
      </c>
      <c r="X21" s="42" t="s">
        <v>219</v>
      </c>
      <c r="Y21" s="28" t="s">
        <v>71</v>
      </c>
      <c r="Z21" s="42" t="s">
        <v>220</v>
      </c>
      <c r="AA21" s="42"/>
      <c r="AB21" s="32"/>
      <c r="AC21" s="32"/>
      <c r="AD21" s="32">
        <v>0.38</v>
      </c>
      <c r="AE21" s="32">
        <v>0.22</v>
      </c>
      <c r="AF21" s="32"/>
      <c r="AG21" s="32">
        <v>0.28000000000000003</v>
      </c>
      <c r="AH21" s="32">
        <v>0.27</v>
      </c>
      <c r="AI21" s="32"/>
      <c r="AJ21" s="36"/>
      <c r="AK21" s="32"/>
      <c r="AL21" s="32"/>
      <c r="AM21" s="32"/>
      <c r="AN21" s="32"/>
      <c r="AO21" s="32"/>
      <c r="AP21" s="75" t="s">
        <v>231</v>
      </c>
      <c r="AQ21" s="16" t="s">
        <v>228</v>
      </c>
      <c r="AR21" s="28">
        <v>-0.10299999999999999</v>
      </c>
      <c r="AS21" s="28">
        <v>3.6999999999999998E-2</v>
      </c>
      <c r="AT21" s="32"/>
      <c r="AU21" s="32">
        <f t="shared" si="0"/>
        <v>-0.17552000000000001</v>
      </c>
      <c r="AV21" s="32">
        <f t="shared" si="1"/>
        <v>-3.0479999999999993E-2</v>
      </c>
      <c r="AW21" s="32">
        <v>104</v>
      </c>
      <c r="AX21" s="32"/>
      <c r="AY21" s="32"/>
      <c r="AZ21" s="32" t="s">
        <v>54</v>
      </c>
      <c r="BA21" s="32">
        <v>1</v>
      </c>
      <c r="BB21" s="32" t="s">
        <v>81</v>
      </c>
      <c r="BC21" s="32" t="s">
        <v>229</v>
      </c>
      <c r="BD21" s="38" t="s">
        <v>230</v>
      </c>
      <c r="BE21" s="15"/>
      <c r="BF21" s="16"/>
    </row>
    <row r="22" spans="1:58" ht="45" x14ac:dyDescent="0.25">
      <c r="A22" s="25">
        <v>17</v>
      </c>
      <c r="B22" s="25" t="s">
        <v>87</v>
      </c>
      <c r="C22" s="26" t="s">
        <v>232</v>
      </c>
      <c r="D22" s="25">
        <v>2011</v>
      </c>
      <c r="E22" s="25" t="s">
        <v>233</v>
      </c>
      <c r="F22" s="16" t="s">
        <v>598</v>
      </c>
      <c r="G22" s="27" t="s">
        <v>234</v>
      </c>
      <c r="H22" s="25" t="s">
        <v>235</v>
      </c>
      <c r="I22" s="26" t="s">
        <v>236</v>
      </c>
      <c r="J22" s="16" t="s">
        <v>645</v>
      </c>
      <c r="K22" s="28"/>
      <c r="L22" s="26" t="s">
        <v>237</v>
      </c>
      <c r="M22" s="28" t="s">
        <v>238</v>
      </c>
      <c r="N22" s="55" t="s">
        <v>239</v>
      </c>
      <c r="O22" s="30" t="s">
        <v>97</v>
      </c>
      <c r="P22" s="41" t="s">
        <v>186</v>
      </c>
      <c r="Q22" s="28" t="s">
        <v>98</v>
      </c>
      <c r="R22" s="32" t="s">
        <v>87</v>
      </c>
      <c r="S22" s="16" t="s">
        <v>64</v>
      </c>
      <c r="T22" s="16" t="s">
        <v>240</v>
      </c>
      <c r="U22" s="16" t="s">
        <v>241</v>
      </c>
      <c r="V22" s="16">
        <v>100</v>
      </c>
      <c r="W22" s="16">
        <v>100</v>
      </c>
      <c r="X22" s="46" t="s">
        <v>242</v>
      </c>
      <c r="Y22" s="35" t="s">
        <v>126</v>
      </c>
      <c r="Z22" s="46" t="s">
        <v>243</v>
      </c>
      <c r="AA22" s="42" t="s">
        <v>244</v>
      </c>
      <c r="AB22" s="32"/>
      <c r="AC22" s="32"/>
      <c r="AD22" s="32"/>
      <c r="AE22" s="32"/>
      <c r="AF22" s="32"/>
      <c r="AG22" s="32"/>
      <c r="AH22" s="32"/>
      <c r="AI22" s="32"/>
      <c r="AJ22" s="36"/>
      <c r="AK22" s="32"/>
      <c r="AL22" s="32"/>
      <c r="AM22" s="32"/>
      <c r="AN22" s="32"/>
      <c r="AO22" s="32"/>
      <c r="AP22" s="75"/>
      <c r="AQ22" s="16"/>
      <c r="AR22" s="28"/>
      <c r="AS22" s="28"/>
      <c r="AT22" s="32"/>
      <c r="AU22" s="32"/>
      <c r="AV22" s="32"/>
      <c r="AW22" s="32"/>
      <c r="AX22" s="32"/>
      <c r="AY22" s="32"/>
      <c r="AZ22" s="32" t="s">
        <v>54</v>
      </c>
      <c r="BA22" s="32">
        <v>1</v>
      </c>
      <c r="BB22" s="32"/>
      <c r="BC22" s="32"/>
      <c r="BD22" s="49"/>
      <c r="BE22" s="38" t="s">
        <v>245</v>
      </c>
      <c r="BF22" s="98" t="s">
        <v>246</v>
      </c>
    </row>
    <row r="23" spans="1:58" ht="30" x14ac:dyDescent="0.25">
      <c r="A23" s="32">
        <v>20</v>
      </c>
      <c r="B23" s="32">
        <v>0</v>
      </c>
      <c r="C23" s="16" t="s">
        <v>247</v>
      </c>
      <c r="D23" s="32">
        <v>2015</v>
      </c>
      <c r="E23" s="32" t="s">
        <v>248</v>
      </c>
      <c r="F23" s="16" t="s">
        <v>599</v>
      </c>
      <c r="G23" s="30" t="s">
        <v>249</v>
      </c>
      <c r="H23" s="32" t="s">
        <v>250</v>
      </c>
      <c r="I23" s="16" t="s">
        <v>251</v>
      </c>
      <c r="J23" s="16" t="s">
        <v>644</v>
      </c>
      <c r="K23" s="28" t="s">
        <v>572</v>
      </c>
      <c r="L23" s="16" t="s">
        <v>252</v>
      </c>
      <c r="M23" s="28">
        <v>19</v>
      </c>
      <c r="N23" s="29">
        <v>161</v>
      </c>
      <c r="O23" s="30" t="s">
        <v>97</v>
      </c>
      <c r="P23" s="41" t="s">
        <v>98</v>
      </c>
      <c r="Q23" s="32" t="s">
        <v>98</v>
      </c>
      <c r="R23" s="32" t="s">
        <v>74</v>
      </c>
      <c r="S23" s="16" t="s">
        <v>64</v>
      </c>
      <c r="T23" s="16" t="s">
        <v>253</v>
      </c>
      <c r="U23" s="16" t="s">
        <v>254</v>
      </c>
      <c r="V23" s="16" t="s">
        <v>255</v>
      </c>
      <c r="W23" s="16">
        <v>1000</v>
      </c>
      <c r="X23" s="56" t="s">
        <v>256</v>
      </c>
      <c r="Y23" s="16" t="s">
        <v>257</v>
      </c>
      <c r="Z23" s="16" t="s">
        <v>258</v>
      </c>
      <c r="AA23" s="16"/>
      <c r="AB23" s="32"/>
      <c r="AC23" s="32"/>
      <c r="AD23" s="32"/>
      <c r="AE23" s="32"/>
      <c r="AF23" s="32"/>
      <c r="AG23" s="32"/>
      <c r="AH23" s="32"/>
      <c r="AI23" s="32"/>
      <c r="AJ23" s="36"/>
      <c r="AK23" s="32"/>
      <c r="AL23" s="32"/>
      <c r="AM23" s="32"/>
      <c r="AN23" s="32"/>
      <c r="AO23" s="32"/>
      <c r="AP23" s="75"/>
      <c r="AQ23" s="16"/>
      <c r="AR23" s="28"/>
      <c r="AS23" s="28"/>
      <c r="AT23" s="32"/>
      <c r="AU23" s="32"/>
      <c r="AV23" s="32"/>
      <c r="AW23" s="32"/>
      <c r="AX23" s="32"/>
      <c r="AY23" s="32"/>
      <c r="AZ23" s="32">
        <v>1</v>
      </c>
      <c r="BA23" s="32">
        <v>1</v>
      </c>
      <c r="BB23" s="32"/>
      <c r="BC23" s="32"/>
      <c r="BD23" s="38"/>
      <c r="BE23" s="15"/>
      <c r="BF23" s="97" t="s">
        <v>259</v>
      </c>
    </row>
    <row r="24" spans="1:58" ht="75" x14ac:dyDescent="0.25">
      <c r="A24" s="32">
        <v>25</v>
      </c>
      <c r="B24" s="32">
        <v>1</v>
      </c>
      <c r="C24" s="16" t="s">
        <v>260</v>
      </c>
      <c r="D24" s="32">
        <v>2015</v>
      </c>
      <c r="E24" s="32" t="s">
        <v>261</v>
      </c>
      <c r="F24" s="16" t="s">
        <v>600</v>
      </c>
      <c r="G24" s="30" t="s">
        <v>262</v>
      </c>
      <c r="H24" s="32" t="s">
        <v>263</v>
      </c>
      <c r="I24" s="16" t="s">
        <v>264</v>
      </c>
      <c r="J24" s="16" t="s">
        <v>644</v>
      </c>
      <c r="K24" s="28" t="s">
        <v>572</v>
      </c>
      <c r="L24" s="26" t="s">
        <v>265</v>
      </c>
      <c r="M24" s="28" t="s">
        <v>185</v>
      </c>
      <c r="N24" s="29">
        <v>384</v>
      </c>
      <c r="O24" s="30" t="s">
        <v>266</v>
      </c>
      <c r="P24" s="51" t="s">
        <v>267</v>
      </c>
      <c r="Q24" s="28" t="s">
        <v>268</v>
      </c>
      <c r="R24" s="32">
        <v>1</v>
      </c>
      <c r="S24" s="16" t="s">
        <v>64</v>
      </c>
      <c r="T24" s="16" t="s">
        <v>269</v>
      </c>
      <c r="U24" s="16" t="s">
        <v>270</v>
      </c>
      <c r="V24" s="16" t="s">
        <v>270</v>
      </c>
      <c r="W24" s="16">
        <v>100</v>
      </c>
      <c r="X24" s="48" t="s">
        <v>271</v>
      </c>
      <c r="Y24" s="57" t="s">
        <v>272</v>
      </c>
      <c r="Z24" s="48" t="s">
        <v>273</v>
      </c>
      <c r="AA24" s="34"/>
      <c r="AB24" s="32"/>
      <c r="AC24" s="32"/>
      <c r="AD24" s="32"/>
      <c r="AE24" s="32"/>
      <c r="AF24" s="32"/>
      <c r="AG24" s="32"/>
      <c r="AH24" s="32"/>
      <c r="AI24" s="32"/>
      <c r="AJ24" s="36"/>
      <c r="AK24" s="32"/>
      <c r="AL24" s="32"/>
      <c r="AM24" s="32"/>
      <c r="AN24" s="32"/>
      <c r="AO24" s="32"/>
      <c r="AP24" s="79" t="s">
        <v>274</v>
      </c>
      <c r="AQ24" s="44" t="s">
        <v>275</v>
      </c>
      <c r="AR24" s="28">
        <v>14.555999999999999</v>
      </c>
      <c r="AS24" s="28">
        <v>4.5090000000000003</v>
      </c>
      <c r="AT24" s="32"/>
      <c r="AU24" s="32">
        <f>AR24-AS24*1.96</f>
        <v>5.7183599999999988</v>
      </c>
      <c r="AV24" s="32">
        <f>AR24+AS24*1.96</f>
        <v>23.393639999999998</v>
      </c>
      <c r="AW24" s="32">
        <v>1146</v>
      </c>
      <c r="AX24" s="32"/>
      <c r="AY24" s="32"/>
      <c r="AZ24" s="32">
        <v>1</v>
      </c>
      <c r="BA24" s="32">
        <v>1</v>
      </c>
      <c r="BB24" s="32" t="s">
        <v>81</v>
      </c>
      <c r="BC24" s="32" t="s">
        <v>276</v>
      </c>
      <c r="BD24" s="38" t="s">
        <v>277</v>
      </c>
      <c r="BE24" s="15"/>
      <c r="BF24" s="16"/>
    </row>
    <row r="25" spans="1:58" ht="75" x14ac:dyDescent="0.25">
      <c r="A25" s="32">
        <v>25</v>
      </c>
      <c r="B25" s="32">
        <v>0</v>
      </c>
      <c r="C25" s="16" t="s">
        <v>260</v>
      </c>
      <c r="D25" s="32">
        <v>2015</v>
      </c>
      <c r="E25" s="32" t="s">
        <v>261</v>
      </c>
      <c r="F25" s="16" t="s">
        <v>600</v>
      </c>
      <c r="G25" s="30" t="s">
        <v>262</v>
      </c>
      <c r="H25" s="32" t="s">
        <v>263</v>
      </c>
      <c r="I25" s="16" t="s">
        <v>264</v>
      </c>
      <c r="J25" s="16" t="s">
        <v>644</v>
      </c>
      <c r="K25" s="28" t="s">
        <v>572</v>
      </c>
      <c r="L25" s="26" t="s">
        <v>265</v>
      </c>
      <c r="M25" s="28" t="s">
        <v>185</v>
      </c>
      <c r="N25" s="29">
        <v>384</v>
      </c>
      <c r="O25" s="30" t="s">
        <v>266</v>
      </c>
      <c r="P25" s="51" t="s">
        <v>267</v>
      </c>
      <c r="Q25" s="28" t="s">
        <v>268</v>
      </c>
      <c r="R25" s="32">
        <v>1</v>
      </c>
      <c r="S25" s="16" t="s">
        <v>64</v>
      </c>
      <c r="T25" s="16" t="s">
        <v>269</v>
      </c>
      <c r="U25" s="16" t="s">
        <v>270</v>
      </c>
      <c r="V25" s="16" t="s">
        <v>270</v>
      </c>
      <c r="W25" s="16">
        <v>100</v>
      </c>
      <c r="X25" s="48" t="s">
        <v>271</v>
      </c>
      <c r="Y25" s="57" t="s">
        <v>272</v>
      </c>
      <c r="Z25" s="48" t="s">
        <v>273</v>
      </c>
      <c r="AA25" s="34"/>
      <c r="AB25" s="32" t="s">
        <v>278</v>
      </c>
      <c r="AC25" s="32" t="s">
        <v>279</v>
      </c>
      <c r="AD25" s="32"/>
      <c r="AE25" s="32"/>
      <c r="AF25" s="32"/>
      <c r="AG25" s="32"/>
      <c r="AH25" s="32"/>
      <c r="AI25" s="32"/>
      <c r="AJ25" s="36"/>
      <c r="AK25" s="32"/>
      <c r="AL25" s="32"/>
      <c r="AM25" s="32"/>
      <c r="AN25" s="32"/>
      <c r="AO25" s="32"/>
      <c r="AP25" s="75" t="s">
        <v>274</v>
      </c>
      <c r="AQ25" s="16" t="s">
        <v>280</v>
      </c>
      <c r="AR25" s="28" t="s">
        <v>281</v>
      </c>
      <c r="AS25" s="28" t="s">
        <v>282</v>
      </c>
      <c r="AT25" s="32"/>
      <c r="AU25" s="32"/>
      <c r="AV25" s="32"/>
      <c r="AW25" s="32">
        <v>1125</v>
      </c>
      <c r="AX25" s="32"/>
      <c r="AY25" s="32"/>
      <c r="AZ25" s="32">
        <v>1</v>
      </c>
      <c r="BA25" s="32">
        <v>1</v>
      </c>
      <c r="BB25" s="32" t="s">
        <v>81</v>
      </c>
      <c r="BC25" s="32" t="s">
        <v>283</v>
      </c>
      <c r="BD25" s="38" t="s">
        <v>284</v>
      </c>
      <c r="BE25" s="15"/>
      <c r="BF25" s="16" t="s">
        <v>285</v>
      </c>
    </row>
    <row r="26" spans="1:58" ht="60" x14ac:dyDescent="0.25">
      <c r="A26" s="25">
        <v>30</v>
      </c>
      <c r="B26" s="25" t="s">
        <v>87</v>
      </c>
      <c r="C26" s="26" t="s">
        <v>286</v>
      </c>
      <c r="D26" s="25">
        <v>2018</v>
      </c>
      <c r="E26" s="25" t="s">
        <v>287</v>
      </c>
      <c r="F26" s="16" t="s">
        <v>601</v>
      </c>
      <c r="G26" s="27" t="s">
        <v>92</v>
      </c>
      <c r="H26" s="25" t="s">
        <v>93</v>
      </c>
      <c r="I26" s="16" t="s">
        <v>94</v>
      </c>
      <c r="J26" s="16" t="s">
        <v>643</v>
      </c>
      <c r="K26" s="28" t="s">
        <v>572</v>
      </c>
      <c r="L26" s="26" t="s">
        <v>288</v>
      </c>
      <c r="M26" s="28">
        <v>83</v>
      </c>
      <c r="N26" s="29">
        <v>386</v>
      </c>
      <c r="O26" s="30" t="s">
        <v>289</v>
      </c>
      <c r="P26" s="31" t="s">
        <v>121</v>
      </c>
      <c r="Q26" s="28" t="s">
        <v>63</v>
      </c>
      <c r="R26" s="32" t="s">
        <v>54</v>
      </c>
      <c r="S26" s="16" t="s">
        <v>64</v>
      </c>
      <c r="T26" s="16" t="s">
        <v>138</v>
      </c>
      <c r="U26" s="16" t="s">
        <v>290</v>
      </c>
      <c r="V26" s="16" t="s">
        <v>290</v>
      </c>
      <c r="W26" s="16">
        <v>300</v>
      </c>
      <c r="X26" s="48" t="s">
        <v>291</v>
      </c>
      <c r="Y26" s="58" t="s">
        <v>292</v>
      </c>
      <c r="Z26" s="34" t="s">
        <v>293</v>
      </c>
      <c r="AA26" s="34" t="s">
        <v>294</v>
      </c>
      <c r="AB26" s="32" t="s">
        <v>295</v>
      </c>
      <c r="AC26" s="32" t="s">
        <v>296</v>
      </c>
      <c r="AD26" s="32" t="s">
        <v>297</v>
      </c>
      <c r="AE26" s="32" t="s">
        <v>298</v>
      </c>
      <c r="AF26" s="32">
        <v>97</v>
      </c>
      <c r="AG26" s="32" t="s">
        <v>299</v>
      </c>
      <c r="AH26" s="32" t="s">
        <v>300</v>
      </c>
      <c r="AI26" s="32">
        <v>67</v>
      </c>
      <c r="AJ26" s="36"/>
      <c r="AK26" s="32"/>
      <c r="AL26" s="32"/>
      <c r="AM26" s="32"/>
      <c r="AN26" s="32"/>
      <c r="AO26" s="32"/>
      <c r="AP26" s="75"/>
      <c r="AQ26" s="16"/>
      <c r="AR26" s="28"/>
      <c r="AS26" s="28"/>
      <c r="AT26" s="32"/>
      <c r="AU26" s="32"/>
      <c r="AV26" s="32"/>
      <c r="AW26" s="32"/>
      <c r="AX26" s="32"/>
      <c r="AY26" s="32"/>
      <c r="AZ26" s="32" t="s">
        <v>54</v>
      </c>
      <c r="BA26" s="32">
        <v>1</v>
      </c>
      <c r="BB26" s="32"/>
      <c r="BC26" s="32"/>
      <c r="BD26" s="38"/>
      <c r="BE26" s="15" t="s">
        <v>301</v>
      </c>
      <c r="BF26" s="26" t="s">
        <v>246</v>
      </c>
    </row>
    <row r="27" spans="1:58" ht="45" x14ac:dyDescent="0.25">
      <c r="A27" s="32">
        <v>9</v>
      </c>
      <c r="B27" s="32">
        <v>0</v>
      </c>
      <c r="C27" s="26" t="s">
        <v>178</v>
      </c>
      <c r="D27" s="25" t="s">
        <v>179</v>
      </c>
      <c r="E27" s="25" t="s">
        <v>180</v>
      </c>
      <c r="F27" s="16" t="s">
        <v>596</v>
      </c>
      <c r="G27" s="27" t="s">
        <v>181</v>
      </c>
      <c r="H27" s="25" t="s">
        <v>182</v>
      </c>
      <c r="I27" s="26" t="s">
        <v>183</v>
      </c>
      <c r="J27" s="26" t="s">
        <v>644</v>
      </c>
      <c r="K27" s="28" t="s">
        <v>572</v>
      </c>
      <c r="L27" s="26" t="s">
        <v>184</v>
      </c>
      <c r="M27" s="28" t="s">
        <v>185</v>
      </c>
      <c r="N27" s="29">
        <v>256</v>
      </c>
      <c r="O27" s="30" t="s">
        <v>62</v>
      </c>
      <c r="P27" s="53" t="s">
        <v>197</v>
      </c>
      <c r="Q27" s="32" t="s">
        <v>197</v>
      </c>
      <c r="R27" s="32" t="s">
        <v>87</v>
      </c>
      <c r="S27" s="16" t="s">
        <v>198</v>
      </c>
      <c r="T27" s="16" t="s">
        <v>199</v>
      </c>
      <c r="U27" s="15" t="s">
        <v>200</v>
      </c>
      <c r="V27" s="16"/>
      <c r="W27" s="16"/>
      <c r="X27" s="95" t="s">
        <v>189</v>
      </c>
      <c r="Y27" s="35" t="s">
        <v>71</v>
      </c>
      <c r="Z27" s="15" t="s">
        <v>190</v>
      </c>
      <c r="AA27" s="16"/>
      <c r="AB27" s="32"/>
      <c r="AC27" s="32"/>
      <c r="AD27" s="32"/>
      <c r="AE27" s="32"/>
      <c r="AF27" s="32"/>
      <c r="AG27" s="32"/>
      <c r="AH27" s="32"/>
      <c r="AI27" s="32"/>
      <c r="AJ27" s="36"/>
      <c r="AK27" s="32"/>
      <c r="AL27" s="32"/>
      <c r="AM27" s="32"/>
      <c r="AN27" s="32"/>
      <c r="AO27" s="32"/>
      <c r="AP27" s="80" t="s">
        <v>201</v>
      </c>
      <c r="AQ27" s="16" t="s">
        <v>556</v>
      </c>
      <c r="AR27" s="28">
        <v>0.14199999999999999</v>
      </c>
      <c r="AS27" s="28">
        <v>0.33300000000000002</v>
      </c>
      <c r="AT27" s="32" t="s">
        <v>202</v>
      </c>
      <c r="AU27" s="32"/>
      <c r="AV27" s="32"/>
      <c r="AW27" s="32"/>
      <c r="AX27" s="32"/>
      <c r="AY27" s="32"/>
      <c r="AZ27" s="32" t="s">
        <v>54</v>
      </c>
      <c r="BA27" s="32">
        <v>1</v>
      </c>
      <c r="BB27" s="32" t="s">
        <v>203</v>
      </c>
      <c r="BC27" s="32" t="s">
        <v>204</v>
      </c>
      <c r="BD27" s="38"/>
      <c r="BE27" s="15"/>
      <c r="BF27" s="16" t="s">
        <v>205</v>
      </c>
    </row>
    <row r="28" spans="1:58" ht="30" x14ac:dyDescent="0.25">
      <c r="A28" s="32">
        <v>39</v>
      </c>
      <c r="B28" s="32">
        <v>1</v>
      </c>
      <c r="C28" s="16" t="s">
        <v>320</v>
      </c>
      <c r="D28" s="32">
        <v>2019</v>
      </c>
      <c r="E28" s="32" t="s">
        <v>321</v>
      </c>
      <c r="F28" s="16" t="s">
        <v>596</v>
      </c>
      <c r="G28" s="30" t="s">
        <v>249</v>
      </c>
      <c r="H28" s="32" t="s">
        <v>250</v>
      </c>
      <c r="I28" s="16" t="s">
        <v>251</v>
      </c>
      <c r="J28" s="16" t="s">
        <v>644</v>
      </c>
      <c r="K28" s="28" t="s">
        <v>572</v>
      </c>
      <c r="L28" s="16" t="s">
        <v>322</v>
      </c>
      <c r="M28" s="32">
        <v>19</v>
      </c>
      <c r="N28" s="29">
        <v>158</v>
      </c>
      <c r="O28" s="30" t="s">
        <v>97</v>
      </c>
      <c r="P28" s="41" t="s">
        <v>98</v>
      </c>
      <c r="Q28" s="32" t="s">
        <v>98</v>
      </c>
      <c r="R28" s="32">
        <v>1</v>
      </c>
      <c r="S28" s="16" t="s">
        <v>64</v>
      </c>
      <c r="T28" s="16" t="s">
        <v>253</v>
      </c>
      <c r="U28" s="16" t="s">
        <v>254</v>
      </c>
      <c r="V28" s="16" t="s">
        <v>255</v>
      </c>
      <c r="W28" s="16">
        <v>1000</v>
      </c>
      <c r="X28" s="38" t="s">
        <v>323</v>
      </c>
      <c r="Y28" s="32">
        <v>0</v>
      </c>
      <c r="Z28" s="16"/>
      <c r="AA28" s="16"/>
      <c r="AB28" s="32"/>
      <c r="AC28" s="32"/>
      <c r="AD28" s="32"/>
      <c r="AE28" s="32"/>
      <c r="AF28" s="32"/>
      <c r="AG28" s="32"/>
      <c r="AH28" s="32"/>
      <c r="AI28" s="32"/>
      <c r="AJ28" s="36"/>
      <c r="AK28" s="32"/>
      <c r="AL28" s="32"/>
      <c r="AM28" s="32"/>
      <c r="AN28" s="32"/>
      <c r="AO28" s="32"/>
      <c r="AP28" s="79" t="s">
        <v>324</v>
      </c>
      <c r="AQ28" s="16" t="s">
        <v>548</v>
      </c>
      <c r="AR28" s="28">
        <v>-27.87</v>
      </c>
      <c r="AS28" s="28">
        <v>37.380000000000003</v>
      </c>
      <c r="AT28" s="32"/>
      <c r="AU28" s="32">
        <f>AR28-AS28*1.96</f>
        <v>-101.13480000000001</v>
      </c>
      <c r="AV28" s="32">
        <f>AR28+AS28*1.96</f>
        <v>45.394800000000004</v>
      </c>
      <c r="AW28" s="32">
        <v>355</v>
      </c>
      <c r="AX28" s="32"/>
      <c r="AY28" s="32"/>
      <c r="AZ28" s="32">
        <v>1</v>
      </c>
      <c r="BA28" s="32">
        <v>1</v>
      </c>
      <c r="BB28" s="32" t="s">
        <v>81</v>
      </c>
      <c r="BC28" s="32" t="s">
        <v>325</v>
      </c>
      <c r="BD28" s="38" t="s">
        <v>326</v>
      </c>
      <c r="BE28" s="15"/>
      <c r="BF28" s="16"/>
    </row>
    <row r="29" spans="1:58" ht="30" x14ac:dyDescent="0.25">
      <c r="A29" s="32">
        <v>39</v>
      </c>
      <c r="B29" s="32">
        <v>1</v>
      </c>
      <c r="C29" s="16" t="s">
        <v>320</v>
      </c>
      <c r="D29" s="32">
        <v>2019</v>
      </c>
      <c r="E29" s="32" t="s">
        <v>321</v>
      </c>
      <c r="F29" s="16" t="s">
        <v>596</v>
      </c>
      <c r="G29" s="30" t="s">
        <v>249</v>
      </c>
      <c r="H29" s="32" t="s">
        <v>250</v>
      </c>
      <c r="I29" s="16" t="s">
        <v>251</v>
      </c>
      <c r="J29" s="16" t="s">
        <v>644</v>
      </c>
      <c r="K29" s="28" t="s">
        <v>572</v>
      </c>
      <c r="L29" s="16" t="s">
        <v>327</v>
      </c>
      <c r="M29" s="32">
        <v>68</v>
      </c>
      <c r="N29" s="29">
        <v>141</v>
      </c>
      <c r="O29" s="30" t="s">
        <v>97</v>
      </c>
      <c r="P29" s="41" t="s">
        <v>98</v>
      </c>
      <c r="Q29" s="32" t="s">
        <v>98</v>
      </c>
      <c r="R29" s="32">
        <v>1</v>
      </c>
      <c r="S29" s="16" t="s">
        <v>64</v>
      </c>
      <c r="T29" s="16" t="s">
        <v>253</v>
      </c>
      <c r="U29" s="16" t="s">
        <v>254</v>
      </c>
      <c r="V29" s="16" t="s">
        <v>255</v>
      </c>
      <c r="W29" s="16">
        <v>1000</v>
      </c>
      <c r="X29" s="38" t="s">
        <v>323</v>
      </c>
      <c r="Y29" s="9"/>
      <c r="Z29" s="16"/>
      <c r="AA29" s="16"/>
      <c r="AB29" s="32"/>
      <c r="AC29" s="32"/>
      <c r="AD29" s="32"/>
      <c r="AE29" s="32"/>
      <c r="AF29" s="32"/>
      <c r="AG29" s="32"/>
      <c r="AH29" s="32"/>
      <c r="AI29" s="32"/>
      <c r="AJ29" s="36"/>
      <c r="AK29" s="32"/>
      <c r="AL29" s="32"/>
      <c r="AM29" s="32"/>
      <c r="AN29" s="32"/>
      <c r="AO29" s="32"/>
      <c r="AP29" s="79" t="s">
        <v>324</v>
      </c>
      <c r="AQ29" s="16" t="s">
        <v>548</v>
      </c>
      <c r="AR29" s="28">
        <v>-7.8410000000000002</v>
      </c>
      <c r="AS29" s="28">
        <v>43.12</v>
      </c>
      <c r="AT29" s="32"/>
      <c r="AU29" s="32">
        <f>AR29-AS29*1.96</f>
        <v>-92.356199999999987</v>
      </c>
      <c r="AV29" s="32">
        <f>AR29+AS29*1.96</f>
        <v>76.674199999999999</v>
      </c>
      <c r="AW29" s="32">
        <v>364</v>
      </c>
      <c r="AX29" s="32"/>
      <c r="AY29" s="32"/>
      <c r="AZ29" s="32">
        <v>1</v>
      </c>
      <c r="BA29" s="32">
        <v>1</v>
      </c>
      <c r="BB29" s="32" t="s">
        <v>81</v>
      </c>
      <c r="BC29" s="32" t="s">
        <v>328</v>
      </c>
      <c r="BD29" s="38" t="s">
        <v>326</v>
      </c>
      <c r="BE29" s="15"/>
      <c r="BF29" s="16"/>
    </row>
    <row r="30" spans="1:58" x14ac:dyDescent="0.25">
      <c r="A30" s="25">
        <v>44</v>
      </c>
      <c r="B30" s="25" t="s">
        <v>54</v>
      </c>
      <c r="C30" s="26" t="s">
        <v>329</v>
      </c>
      <c r="D30" s="25" t="s">
        <v>330</v>
      </c>
      <c r="E30" s="25" t="s">
        <v>331</v>
      </c>
      <c r="F30" s="16" t="s">
        <v>603</v>
      </c>
      <c r="G30" s="30" t="s">
        <v>249</v>
      </c>
      <c r="H30" s="32" t="s">
        <v>250</v>
      </c>
      <c r="I30" s="16" t="s">
        <v>332</v>
      </c>
      <c r="J30" s="16" t="s">
        <v>643</v>
      </c>
      <c r="K30" s="28" t="s">
        <v>572</v>
      </c>
      <c r="L30" s="16" t="s">
        <v>333</v>
      </c>
      <c r="M30" s="32">
        <v>18</v>
      </c>
      <c r="N30" s="29" t="s">
        <v>334</v>
      </c>
      <c r="O30" s="30" t="s">
        <v>335</v>
      </c>
      <c r="P30" s="51" t="s">
        <v>336</v>
      </c>
      <c r="Q30" s="32" t="s">
        <v>337</v>
      </c>
      <c r="R30" s="32" t="s">
        <v>54</v>
      </c>
      <c r="S30" s="16" t="s">
        <v>64</v>
      </c>
      <c r="T30" s="16" t="s">
        <v>253</v>
      </c>
      <c r="U30" s="16" t="s">
        <v>338</v>
      </c>
      <c r="V30" s="16" t="s">
        <v>339</v>
      </c>
      <c r="W30" s="16">
        <v>100</v>
      </c>
      <c r="X30" s="42" t="s">
        <v>340</v>
      </c>
      <c r="Y30" s="60" t="s">
        <v>87</v>
      </c>
      <c r="Z30" s="16" t="s">
        <v>341</v>
      </c>
      <c r="AA30" s="16" t="s">
        <v>342</v>
      </c>
      <c r="AB30" s="32" t="s">
        <v>343</v>
      </c>
      <c r="AC30" s="32" t="s">
        <v>344</v>
      </c>
      <c r="AD30" s="32" t="s">
        <v>345</v>
      </c>
      <c r="AE30" s="32" t="s">
        <v>346</v>
      </c>
      <c r="AF30" s="32" t="s">
        <v>347</v>
      </c>
      <c r="AG30" s="32" t="s">
        <v>348</v>
      </c>
      <c r="AH30" s="32" t="s">
        <v>349</v>
      </c>
      <c r="AI30" s="32" t="s">
        <v>350</v>
      </c>
      <c r="AJ30" s="36"/>
      <c r="AK30" s="32"/>
      <c r="AL30" s="32"/>
      <c r="AM30" s="32"/>
      <c r="AN30" s="32"/>
      <c r="AO30" s="32"/>
      <c r="AP30" s="79" t="s">
        <v>351</v>
      </c>
      <c r="AQ30" s="16" t="s">
        <v>352</v>
      </c>
      <c r="AR30" s="28" t="s">
        <v>353</v>
      </c>
      <c r="AS30" s="28" t="s">
        <v>354</v>
      </c>
      <c r="AT30" s="32"/>
      <c r="AU30" s="32">
        <f>AR30-AS30*1.96</f>
        <v>-24.121392</v>
      </c>
      <c r="AV30" s="32">
        <f>AR30+AS30*1.96</f>
        <v>14.177792000000002</v>
      </c>
      <c r="AW30" s="32">
        <v>50</v>
      </c>
      <c r="AX30" s="32"/>
      <c r="AY30" s="32"/>
      <c r="AZ30" s="32" t="s">
        <v>54</v>
      </c>
      <c r="BA30" s="32">
        <v>1</v>
      </c>
      <c r="BB30" s="32" t="s">
        <v>81</v>
      </c>
      <c r="BC30" s="32" t="s">
        <v>82</v>
      </c>
      <c r="BD30" s="38" t="s">
        <v>355</v>
      </c>
      <c r="BE30" s="15"/>
      <c r="BF30" s="26"/>
    </row>
    <row r="31" spans="1:58" ht="30" x14ac:dyDescent="0.25">
      <c r="A31" s="32">
        <v>48</v>
      </c>
      <c r="B31" s="32">
        <v>1</v>
      </c>
      <c r="C31" s="16" t="s">
        <v>560</v>
      </c>
      <c r="D31" s="32">
        <v>2019</v>
      </c>
      <c r="E31" s="32" t="s">
        <v>356</v>
      </c>
      <c r="F31" s="16" t="s">
        <v>604</v>
      </c>
      <c r="G31" s="30" t="s">
        <v>357</v>
      </c>
      <c r="H31" s="32" t="s">
        <v>358</v>
      </c>
      <c r="I31" s="16" t="s">
        <v>359</v>
      </c>
      <c r="J31" s="16" t="s">
        <v>643</v>
      </c>
      <c r="K31" s="28" t="s">
        <v>572</v>
      </c>
      <c r="L31" s="16" t="s">
        <v>360</v>
      </c>
      <c r="M31" s="32">
        <v>4</v>
      </c>
      <c r="N31" s="29">
        <v>164</v>
      </c>
      <c r="O31" s="30" t="s">
        <v>97</v>
      </c>
      <c r="P31" s="41" t="s">
        <v>98</v>
      </c>
      <c r="Q31" s="32" t="s">
        <v>98</v>
      </c>
      <c r="R31" s="32">
        <v>1</v>
      </c>
      <c r="S31" s="16" t="s">
        <v>64</v>
      </c>
      <c r="T31" s="16" t="s">
        <v>65</v>
      </c>
      <c r="U31" s="16" t="s">
        <v>361</v>
      </c>
      <c r="V31" s="16" t="s">
        <v>361</v>
      </c>
      <c r="W31" s="16">
        <v>10</v>
      </c>
      <c r="X31" s="34" t="s">
        <v>362</v>
      </c>
      <c r="Y31" s="61" t="s">
        <v>87</v>
      </c>
      <c r="Z31" s="34" t="s">
        <v>362</v>
      </c>
      <c r="AA31" s="16"/>
      <c r="AB31" s="32"/>
      <c r="AC31" s="32"/>
      <c r="AD31" s="32"/>
      <c r="AE31" s="32"/>
      <c r="AF31" s="32"/>
      <c r="AG31" s="32"/>
      <c r="AH31" s="32"/>
      <c r="AI31" s="32"/>
      <c r="AJ31" s="36" t="s">
        <v>363</v>
      </c>
      <c r="AK31" s="32"/>
      <c r="AL31" s="32">
        <v>0.01</v>
      </c>
      <c r="AM31" s="32"/>
      <c r="AN31" s="32"/>
      <c r="AO31" s="32"/>
      <c r="AP31" s="80" t="s">
        <v>364</v>
      </c>
      <c r="AQ31" s="16" t="s">
        <v>549</v>
      </c>
      <c r="AR31" s="28">
        <v>-0.27</v>
      </c>
      <c r="AS31" s="62">
        <f>(AV31-AR31)/2</f>
        <v>0.17500000000000002</v>
      </c>
      <c r="AT31" s="32"/>
      <c r="AU31" s="32">
        <v>-0.61</v>
      </c>
      <c r="AV31" s="32">
        <v>0.08</v>
      </c>
      <c r="AW31" s="32">
        <v>163</v>
      </c>
      <c r="AX31" s="32"/>
      <c r="AY31" s="32"/>
      <c r="AZ31" s="32">
        <v>1</v>
      </c>
      <c r="BA31" s="32">
        <v>1</v>
      </c>
      <c r="BB31" s="32" t="s">
        <v>365</v>
      </c>
      <c r="BC31" s="32" t="s">
        <v>366</v>
      </c>
      <c r="BD31" s="38" t="s">
        <v>367</v>
      </c>
      <c r="BE31" s="15"/>
      <c r="BF31" s="16"/>
    </row>
    <row r="32" spans="1:58" ht="45" x14ac:dyDescent="0.25">
      <c r="A32" s="32">
        <v>50</v>
      </c>
      <c r="B32" s="32">
        <v>1</v>
      </c>
      <c r="C32" s="16" t="s">
        <v>368</v>
      </c>
      <c r="D32" s="32">
        <v>2015</v>
      </c>
      <c r="E32" s="32" t="s">
        <v>369</v>
      </c>
      <c r="F32" s="16" t="s">
        <v>605</v>
      </c>
      <c r="G32" s="30" t="s">
        <v>370</v>
      </c>
      <c r="H32" s="32" t="s">
        <v>371</v>
      </c>
      <c r="I32" s="16" t="s">
        <v>372</v>
      </c>
      <c r="J32" s="16" t="s">
        <v>645</v>
      </c>
      <c r="K32" s="28" t="s">
        <v>572</v>
      </c>
      <c r="L32" s="16" t="s">
        <v>373</v>
      </c>
      <c r="M32" s="32">
        <v>0</v>
      </c>
      <c r="N32" s="29">
        <v>1130</v>
      </c>
      <c r="O32" s="30" t="s">
        <v>62</v>
      </c>
      <c r="P32" s="31" t="s">
        <v>374</v>
      </c>
      <c r="Q32" s="28" t="s">
        <v>63</v>
      </c>
      <c r="R32" s="32">
        <v>0</v>
      </c>
      <c r="S32" s="16" t="s">
        <v>375</v>
      </c>
      <c r="T32" s="16" t="s">
        <v>376</v>
      </c>
      <c r="U32" s="16" t="s">
        <v>377</v>
      </c>
      <c r="V32" s="33" t="s">
        <v>378</v>
      </c>
      <c r="W32" s="16" t="s">
        <v>86</v>
      </c>
      <c r="X32" s="38" t="s">
        <v>379</v>
      </c>
      <c r="Y32" s="37" t="s">
        <v>87</v>
      </c>
      <c r="Z32" s="46" t="s">
        <v>638</v>
      </c>
      <c r="AA32" s="16"/>
      <c r="AB32" s="28" t="s">
        <v>380</v>
      </c>
      <c r="AC32" s="28" t="s">
        <v>381</v>
      </c>
      <c r="AD32" s="28">
        <v>0.42599999999999999</v>
      </c>
      <c r="AE32" s="28">
        <v>0.49448249999999999</v>
      </c>
      <c r="AF32" s="28">
        <v>842</v>
      </c>
      <c r="AG32" s="28">
        <v>0.442</v>
      </c>
      <c r="AH32" s="28">
        <v>0.49740000000000001</v>
      </c>
      <c r="AI32" s="28">
        <v>288</v>
      </c>
      <c r="AJ32" s="36" t="s">
        <v>382</v>
      </c>
      <c r="AK32" s="28">
        <f>AG32-AD32</f>
        <v>1.6000000000000014E-2</v>
      </c>
      <c r="AL32" s="31" t="s">
        <v>383</v>
      </c>
      <c r="AM32" s="83">
        <v>-8.3299999999999999E-2</v>
      </c>
      <c r="AN32" s="83">
        <v>4.9346000000000001E-2</v>
      </c>
      <c r="AO32" s="31">
        <f>(AK32-AM32)/2</f>
        <v>4.9650000000000007E-2</v>
      </c>
      <c r="AP32" s="75" t="s">
        <v>551</v>
      </c>
      <c r="AQ32" s="50" t="s">
        <v>550</v>
      </c>
      <c r="AR32" s="28"/>
      <c r="AS32" s="28"/>
      <c r="AT32" s="32"/>
      <c r="AU32" s="32"/>
      <c r="AV32" s="32"/>
      <c r="AW32" s="32"/>
      <c r="AX32" s="32"/>
      <c r="AY32" s="32"/>
      <c r="AZ32" s="32">
        <v>0</v>
      </c>
      <c r="BA32" s="32">
        <v>1</v>
      </c>
      <c r="BB32" s="32"/>
      <c r="BC32" s="32"/>
      <c r="BD32" s="38"/>
      <c r="BE32" s="15" t="s">
        <v>384</v>
      </c>
      <c r="BF32" s="16"/>
    </row>
    <row r="33" spans="1:58" ht="45" x14ac:dyDescent="0.25">
      <c r="A33" s="32">
        <v>50</v>
      </c>
      <c r="B33" s="32">
        <v>1</v>
      </c>
      <c r="C33" s="16" t="s">
        <v>368</v>
      </c>
      <c r="D33" s="32">
        <v>2015</v>
      </c>
      <c r="E33" s="32" t="s">
        <v>369</v>
      </c>
      <c r="F33" s="16" t="s">
        <v>605</v>
      </c>
      <c r="G33" s="30" t="s">
        <v>370</v>
      </c>
      <c r="H33" s="32" t="s">
        <v>371</v>
      </c>
      <c r="I33" s="16" t="s">
        <v>372</v>
      </c>
      <c r="J33" s="16" t="s">
        <v>645</v>
      </c>
      <c r="K33" s="28" t="s">
        <v>572</v>
      </c>
      <c r="L33" s="16" t="s">
        <v>373</v>
      </c>
      <c r="M33" s="32">
        <v>0</v>
      </c>
      <c r="N33" s="29">
        <v>1130</v>
      </c>
      <c r="O33" s="30" t="s">
        <v>84</v>
      </c>
      <c r="P33" s="31" t="s">
        <v>374</v>
      </c>
      <c r="Q33" s="28" t="s">
        <v>63</v>
      </c>
      <c r="R33" s="32">
        <v>0</v>
      </c>
      <c r="S33" s="16" t="s">
        <v>385</v>
      </c>
      <c r="T33" s="16" t="s">
        <v>386</v>
      </c>
      <c r="U33" s="16" t="s">
        <v>387</v>
      </c>
      <c r="V33" s="33" t="s">
        <v>388</v>
      </c>
      <c r="W33" s="16" t="s">
        <v>86</v>
      </c>
      <c r="X33" s="38" t="s">
        <v>379</v>
      </c>
      <c r="Y33" s="37" t="s">
        <v>126</v>
      </c>
      <c r="Z33" s="46" t="s">
        <v>638</v>
      </c>
      <c r="AA33" s="16"/>
      <c r="AB33" s="28">
        <v>80</v>
      </c>
      <c r="AC33" s="28">
        <v>0.4</v>
      </c>
      <c r="AD33" s="28">
        <v>0.77500000000000002</v>
      </c>
      <c r="AE33" s="28">
        <v>0.42</v>
      </c>
      <c r="AF33" s="28">
        <v>842</v>
      </c>
      <c r="AG33" s="28">
        <v>0.879</v>
      </c>
      <c r="AH33" s="28">
        <v>0.4</v>
      </c>
      <c r="AI33" s="28">
        <v>288</v>
      </c>
      <c r="AJ33" s="36" t="s">
        <v>382</v>
      </c>
      <c r="AK33" s="28">
        <f>AG33-AD33</f>
        <v>0.10399999999999998</v>
      </c>
      <c r="AL33" s="31">
        <v>2.2000000000000001E-3</v>
      </c>
      <c r="AM33" s="31">
        <f>(AG33-AD33)+(1.97*(AH33-AE33))</f>
        <v>6.4600000000000046E-2</v>
      </c>
      <c r="AN33" s="31">
        <f>(AG33-AD33)-(1.97*(AH33-AE33))</f>
        <v>0.14339999999999992</v>
      </c>
      <c r="AO33" s="31">
        <f>(AK33-AM33)/2</f>
        <v>1.9699999999999968E-2</v>
      </c>
      <c r="AP33" s="75" t="s">
        <v>551</v>
      </c>
      <c r="AQ33" s="50" t="s">
        <v>550</v>
      </c>
      <c r="AR33" s="28"/>
      <c r="AS33" s="28"/>
      <c r="AT33" s="32"/>
      <c r="AU33" s="32"/>
      <c r="AV33" s="32"/>
      <c r="AW33" s="32"/>
      <c r="AX33" s="32"/>
      <c r="AY33" s="32"/>
      <c r="AZ33" s="32">
        <v>0</v>
      </c>
      <c r="BA33" s="32">
        <v>1</v>
      </c>
      <c r="BB33" s="32"/>
      <c r="BC33" s="32"/>
      <c r="BD33" s="38"/>
      <c r="BE33" s="15" t="s">
        <v>384</v>
      </c>
      <c r="BF33" s="16"/>
    </row>
    <row r="34" spans="1:58" ht="45" x14ac:dyDescent="0.25">
      <c r="A34" s="32">
        <v>53</v>
      </c>
      <c r="B34" s="32">
        <v>1</v>
      </c>
      <c r="C34" s="16" t="s">
        <v>703</v>
      </c>
      <c r="D34" s="32">
        <v>2017</v>
      </c>
      <c r="E34" s="32" t="s">
        <v>702</v>
      </c>
      <c r="F34" s="16" t="s">
        <v>606</v>
      </c>
      <c r="G34" s="30" t="s">
        <v>181</v>
      </c>
      <c r="H34" s="32" t="s">
        <v>182</v>
      </c>
      <c r="I34" s="16" t="s">
        <v>390</v>
      </c>
      <c r="J34" s="16" t="s">
        <v>644</v>
      </c>
      <c r="K34" s="28" t="s">
        <v>572</v>
      </c>
      <c r="L34" s="16" t="s">
        <v>391</v>
      </c>
      <c r="M34" s="32">
        <v>11</v>
      </c>
      <c r="N34" s="29">
        <v>202</v>
      </c>
      <c r="O34" s="30" t="s">
        <v>62</v>
      </c>
      <c r="P34" s="31" t="s">
        <v>121</v>
      </c>
      <c r="Q34" s="28" t="s">
        <v>63</v>
      </c>
      <c r="R34" s="32">
        <v>1</v>
      </c>
      <c r="S34" s="16" t="s">
        <v>64</v>
      </c>
      <c r="T34" s="16" t="s">
        <v>65</v>
      </c>
      <c r="U34" s="16" t="s">
        <v>392</v>
      </c>
      <c r="V34" s="33" t="s">
        <v>392</v>
      </c>
      <c r="W34" s="33">
        <v>6000</v>
      </c>
      <c r="X34" s="38" t="s">
        <v>393</v>
      </c>
      <c r="Y34" s="32" t="s">
        <v>71</v>
      </c>
      <c r="Z34" s="48" t="s">
        <v>394</v>
      </c>
      <c r="AA34" s="16"/>
      <c r="AB34" s="32">
        <v>0.67</v>
      </c>
      <c r="AC34" s="32" t="s">
        <v>395</v>
      </c>
      <c r="AD34" s="32"/>
      <c r="AE34" s="32"/>
      <c r="AF34" s="32"/>
      <c r="AG34" s="32"/>
      <c r="AH34" s="32"/>
      <c r="AI34" s="32"/>
      <c r="AJ34" s="36"/>
      <c r="AK34" s="32"/>
      <c r="AL34" s="32"/>
      <c r="AM34" s="31"/>
      <c r="AN34" s="31"/>
      <c r="AO34" s="32"/>
      <c r="AP34" s="75" t="s">
        <v>396</v>
      </c>
      <c r="AQ34" s="16" t="s">
        <v>553</v>
      </c>
      <c r="AR34" s="28" t="s">
        <v>398</v>
      </c>
      <c r="AS34" s="28" t="s">
        <v>399</v>
      </c>
      <c r="AT34" s="32"/>
      <c r="AU34" s="32">
        <f>AR34-AS34*1.96</f>
        <v>-0.38088</v>
      </c>
      <c r="AV34" s="32">
        <f>AR34+AS34*1.96</f>
        <v>2.2879999999999984E-2</v>
      </c>
      <c r="AW34" s="32">
        <v>167</v>
      </c>
      <c r="AX34" s="32"/>
      <c r="AY34" s="32"/>
      <c r="AZ34" s="32">
        <v>1</v>
      </c>
      <c r="BA34" s="32">
        <v>1</v>
      </c>
      <c r="BB34" s="32" t="s">
        <v>81</v>
      </c>
      <c r="BC34" s="32" t="s">
        <v>400</v>
      </c>
      <c r="BD34" s="38" t="s">
        <v>401</v>
      </c>
      <c r="BE34" s="15"/>
      <c r="BF34" s="16"/>
    </row>
    <row r="35" spans="1:58" ht="45" x14ac:dyDescent="0.25">
      <c r="A35" s="32">
        <v>53</v>
      </c>
      <c r="B35" s="32">
        <v>1</v>
      </c>
      <c r="C35" s="16" t="s">
        <v>703</v>
      </c>
      <c r="D35" s="32">
        <v>2017</v>
      </c>
      <c r="E35" s="32" t="s">
        <v>702</v>
      </c>
      <c r="F35" s="16" t="s">
        <v>606</v>
      </c>
      <c r="G35" s="30" t="s">
        <v>181</v>
      </c>
      <c r="H35" s="32" t="s">
        <v>182</v>
      </c>
      <c r="I35" s="16" t="s">
        <v>390</v>
      </c>
      <c r="J35" s="16" t="s">
        <v>644</v>
      </c>
      <c r="K35" s="28" t="s">
        <v>572</v>
      </c>
      <c r="L35" s="16" t="s">
        <v>391</v>
      </c>
      <c r="M35" s="32">
        <v>11</v>
      </c>
      <c r="N35" s="29">
        <v>202</v>
      </c>
      <c r="O35" s="30" t="s">
        <v>84</v>
      </c>
      <c r="P35" s="31" t="s">
        <v>121</v>
      </c>
      <c r="Q35" s="28" t="s">
        <v>63</v>
      </c>
      <c r="R35" s="32">
        <v>1</v>
      </c>
      <c r="S35" s="16" t="s">
        <v>402</v>
      </c>
      <c r="T35" s="16" t="s">
        <v>65</v>
      </c>
      <c r="U35" s="16" t="s">
        <v>71</v>
      </c>
      <c r="V35" s="28" t="s">
        <v>71</v>
      </c>
      <c r="W35" s="16" t="s">
        <v>86</v>
      </c>
      <c r="X35" s="38" t="s">
        <v>393</v>
      </c>
      <c r="Y35" s="32" t="s">
        <v>71</v>
      </c>
      <c r="Z35" s="34" t="s">
        <v>394</v>
      </c>
      <c r="AA35" s="16"/>
      <c r="AB35" s="32">
        <v>0.63</v>
      </c>
      <c r="AC35" s="32">
        <v>0.24</v>
      </c>
      <c r="AD35" s="32"/>
      <c r="AE35" s="32"/>
      <c r="AF35" s="32"/>
      <c r="AG35" s="32"/>
      <c r="AH35" s="32"/>
      <c r="AI35" s="32"/>
      <c r="AJ35" s="36"/>
      <c r="AK35" s="32"/>
      <c r="AL35" s="32"/>
      <c r="AM35" s="32"/>
      <c r="AN35" s="32"/>
      <c r="AO35" s="32"/>
      <c r="AP35" s="75" t="s">
        <v>403</v>
      </c>
      <c r="AQ35" s="16" t="s">
        <v>553</v>
      </c>
      <c r="AR35" s="28">
        <v>-0.11899999999999999</v>
      </c>
      <c r="AS35" s="28">
        <v>3.7999999999999999E-2</v>
      </c>
      <c r="AT35" s="32"/>
      <c r="AU35" s="32">
        <f>AR35-AS35*1.96</f>
        <v>-0.19347999999999999</v>
      </c>
      <c r="AV35" s="32">
        <f>AR35+AS35*1.96</f>
        <v>-4.4520000000000004E-2</v>
      </c>
      <c r="AW35" s="32">
        <v>202</v>
      </c>
      <c r="AX35" s="32"/>
      <c r="AY35" s="32"/>
      <c r="AZ35" s="32">
        <v>1</v>
      </c>
      <c r="BA35" s="32">
        <v>1</v>
      </c>
      <c r="BB35" s="32" t="s">
        <v>81</v>
      </c>
      <c r="BC35" s="32" t="s">
        <v>404</v>
      </c>
      <c r="BD35" s="38" t="s">
        <v>405</v>
      </c>
      <c r="BE35" s="15"/>
      <c r="BF35" s="16"/>
    </row>
    <row r="36" spans="1:58" ht="45" x14ac:dyDescent="0.25">
      <c r="A36" s="32">
        <v>9</v>
      </c>
      <c r="B36" s="32">
        <v>0</v>
      </c>
      <c r="C36" s="26" t="s">
        <v>178</v>
      </c>
      <c r="D36" s="25" t="s">
        <v>179</v>
      </c>
      <c r="E36" s="25" t="s">
        <v>180</v>
      </c>
      <c r="F36" s="16" t="s">
        <v>596</v>
      </c>
      <c r="G36" s="27" t="s">
        <v>181</v>
      </c>
      <c r="H36" s="25" t="s">
        <v>182</v>
      </c>
      <c r="I36" s="26" t="s">
        <v>183</v>
      </c>
      <c r="J36" s="26" t="s">
        <v>644</v>
      </c>
      <c r="K36" s="28" t="s">
        <v>572</v>
      </c>
      <c r="L36" s="26" t="s">
        <v>184</v>
      </c>
      <c r="M36" s="28" t="s">
        <v>185</v>
      </c>
      <c r="N36" s="32">
        <v>256</v>
      </c>
      <c r="O36" s="30" t="s">
        <v>62</v>
      </c>
      <c r="P36" s="53" t="s">
        <v>197</v>
      </c>
      <c r="Q36" s="32" t="s">
        <v>197</v>
      </c>
      <c r="R36" s="32" t="s">
        <v>87</v>
      </c>
      <c r="S36" s="16" t="s">
        <v>198</v>
      </c>
      <c r="T36" s="16" t="s">
        <v>199</v>
      </c>
      <c r="U36" s="15" t="s">
        <v>200</v>
      </c>
      <c r="V36" s="16"/>
      <c r="W36" s="16"/>
      <c r="X36" s="95" t="s">
        <v>189</v>
      </c>
      <c r="Y36" s="37" t="s">
        <v>71</v>
      </c>
      <c r="Z36" s="15" t="s">
        <v>194</v>
      </c>
      <c r="AA36" s="16"/>
      <c r="AB36" s="32"/>
      <c r="AC36" s="32"/>
      <c r="AD36" s="32"/>
      <c r="AE36" s="32"/>
      <c r="AF36" s="32"/>
      <c r="AG36" s="32"/>
      <c r="AH36" s="32"/>
      <c r="AI36" s="32"/>
      <c r="AJ36" s="36"/>
      <c r="AK36" s="32"/>
      <c r="AL36" s="32"/>
      <c r="AM36" s="32"/>
      <c r="AN36" s="32"/>
      <c r="AO36" s="32"/>
      <c r="AP36" s="80" t="s">
        <v>201</v>
      </c>
      <c r="AQ36" s="16" t="s">
        <v>557</v>
      </c>
      <c r="AR36" s="28">
        <v>-1.222</v>
      </c>
      <c r="AS36" s="28">
        <v>0.433</v>
      </c>
      <c r="AT36" s="32" t="s">
        <v>206</v>
      </c>
      <c r="AU36" s="32"/>
      <c r="AV36" s="32"/>
      <c r="AW36" s="32"/>
      <c r="AX36" s="32"/>
      <c r="AY36" s="32"/>
      <c r="AZ36" s="32" t="s">
        <v>54</v>
      </c>
      <c r="BA36" s="32">
        <v>1</v>
      </c>
      <c r="BB36" s="32" t="s">
        <v>203</v>
      </c>
      <c r="BC36" s="32" t="s">
        <v>207</v>
      </c>
      <c r="BD36" s="38"/>
      <c r="BE36" s="15"/>
      <c r="BF36" s="16" t="s">
        <v>205</v>
      </c>
    </row>
    <row r="37" spans="1:58" ht="30" x14ac:dyDescent="0.25">
      <c r="A37" s="28">
        <v>65</v>
      </c>
      <c r="B37" s="28">
        <v>0</v>
      </c>
      <c r="C37" s="16" t="s">
        <v>499</v>
      </c>
      <c r="D37" s="32">
        <v>2019</v>
      </c>
      <c r="E37" s="32" t="s">
        <v>500</v>
      </c>
      <c r="F37" s="16" t="s">
        <v>614</v>
      </c>
      <c r="G37" s="63" t="s">
        <v>211</v>
      </c>
      <c r="H37" s="28" t="s">
        <v>212</v>
      </c>
      <c r="I37" s="16" t="s">
        <v>213</v>
      </c>
      <c r="J37" s="16" t="s">
        <v>645</v>
      </c>
      <c r="K37" s="28" t="s">
        <v>572</v>
      </c>
      <c r="L37" s="15" t="s">
        <v>501</v>
      </c>
      <c r="M37" s="32">
        <v>7</v>
      </c>
      <c r="N37" s="29">
        <v>2033</v>
      </c>
      <c r="O37" s="30" t="s">
        <v>502</v>
      </c>
      <c r="P37" s="53" t="s">
        <v>197</v>
      </c>
      <c r="Q37" s="32" t="s">
        <v>197</v>
      </c>
      <c r="R37" s="32">
        <v>0</v>
      </c>
      <c r="S37" s="15" t="s">
        <v>503</v>
      </c>
      <c r="T37" s="15" t="s">
        <v>504</v>
      </c>
      <c r="U37" s="15"/>
      <c r="V37" s="28" t="s">
        <v>71</v>
      </c>
      <c r="W37" s="28" t="s">
        <v>86</v>
      </c>
      <c r="X37" s="56" t="s">
        <v>495</v>
      </c>
      <c r="Y37" s="32">
        <v>0</v>
      </c>
      <c r="Z37" s="15" t="s">
        <v>425</v>
      </c>
      <c r="AA37" s="15"/>
      <c r="AB37" s="9"/>
      <c r="AC37" s="9"/>
      <c r="AD37" s="32">
        <v>3.89</v>
      </c>
      <c r="AE37" s="32">
        <v>0.89</v>
      </c>
      <c r="AF37" s="32">
        <v>1383</v>
      </c>
      <c r="AG37" s="32">
        <v>3.93</v>
      </c>
      <c r="AH37" s="32">
        <v>0.88</v>
      </c>
      <c r="AI37" s="32">
        <v>642</v>
      </c>
      <c r="AJ37" s="36" t="s">
        <v>136</v>
      </c>
      <c r="AK37" s="32">
        <v>0.05</v>
      </c>
      <c r="AL37" s="32">
        <v>0.34</v>
      </c>
      <c r="AM37" s="32"/>
      <c r="AN37" s="32"/>
      <c r="AO37" s="32"/>
      <c r="AP37" s="75" t="s">
        <v>505</v>
      </c>
      <c r="AQ37" s="16" t="s">
        <v>506</v>
      </c>
      <c r="AR37" s="32"/>
      <c r="AS37" s="32"/>
      <c r="AT37" s="32"/>
      <c r="AU37" s="32"/>
      <c r="AV37" s="32"/>
      <c r="AW37" s="32"/>
      <c r="AX37" s="32"/>
      <c r="AY37" s="32"/>
      <c r="AZ37" s="32"/>
      <c r="BA37" s="32"/>
      <c r="BB37" s="32"/>
      <c r="BC37" s="32"/>
      <c r="BD37" s="38"/>
      <c r="BE37" s="15"/>
      <c r="BF37" s="15" t="s">
        <v>507</v>
      </c>
    </row>
    <row r="38" spans="1:58" ht="30" x14ac:dyDescent="0.25">
      <c r="A38" s="32">
        <v>66</v>
      </c>
      <c r="B38" s="32">
        <v>0</v>
      </c>
      <c r="C38" s="16" t="s">
        <v>508</v>
      </c>
      <c r="D38" s="32">
        <v>2017</v>
      </c>
      <c r="E38" s="32" t="s">
        <v>509</v>
      </c>
      <c r="F38" s="16" t="s">
        <v>615</v>
      </c>
      <c r="G38" s="63" t="s">
        <v>510</v>
      </c>
      <c r="H38" s="32" t="s">
        <v>510</v>
      </c>
      <c r="I38" s="16" t="s">
        <v>511</v>
      </c>
      <c r="J38" s="16" t="s">
        <v>643</v>
      </c>
      <c r="K38" s="28" t="s">
        <v>572</v>
      </c>
      <c r="L38" s="33" t="s">
        <v>512</v>
      </c>
      <c r="M38" s="32">
        <v>3.5</v>
      </c>
      <c r="N38" s="32">
        <v>259</v>
      </c>
      <c r="O38" s="30" t="s">
        <v>62</v>
      </c>
      <c r="P38" s="53" t="s">
        <v>197</v>
      </c>
      <c r="Q38" s="32" t="s">
        <v>197</v>
      </c>
      <c r="R38" s="32">
        <v>0</v>
      </c>
      <c r="S38" s="15" t="s">
        <v>580</v>
      </c>
      <c r="T38" s="16" t="s">
        <v>513</v>
      </c>
      <c r="U38" s="16" t="s">
        <v>514</v>
      </c>
      <c r="V38" s="32" t="s">
        <v>71</v>
      </c>
      <c r="W38" s="32" t="s">
        <v>86</v>
      </c>
      <c r="X38" s="38" t="s">
        <v>515</v>
      </c>
      <c r="Y38" s="32" t="s">
        <v>126</v>
      </c>
      <c r="Z38" s="34" t="s">
        <v>394</v>
      </c>
      <c r="AA38" s="33" t="s">
        <v>516</v>
      </c>
      <c r="AB38" s="32"/>
      <c r="AC38" s="32"/>
      <c r="AD38" s="32">
        <v>2.7191000000000001</v>
      </c>
      <c r="AE38" s="32">
        <v>0.56379999999999997</v>
      </c>
      <c r="AF38" s="32">
        <v>64</v>
      </c>
      <c r="AG38" s="32">
        <v>2.9</v>
      </c>
      <c r="AH38" s="32">
        <v>0.56159999999999999</v>
      </c>
      <c r="AI38" s="32">
        <v>195</v>
      </c>
      <c r="AJ38" s="36" t="s">
        <v>517</v>
      </c>
      <c r="AK38" s="32">
        <f>AG38-AD38</f>
        <v>0.18089999999999984</v>
      </c>
      <c r="AL38" s="32" t="s">
        <v>518</v>
      </c>
      <c r="AM38" s="32"/>
      <c r="AN38" s="32"/>
      <c r="AO38" s="32"/>
      <c r="AP38" s="81" t="s">
        <v>62</v>
      </c>
      <c r="AQ38" s="16" t="s">
        <v>397</v>
      </c>
      <c r="AR38" s="32">
        <v>0.66</v>
      </c>
      <c r="AS38" s="32"/>
      <c r="AT38" s="32" t="s">
        <v>519</v>
      </c>
      <c r="AU38" s="32">
        <f>AR38-AS38*1.96</f>
        <v>0.66</v>
      </c>
      <c r="AV38" s="32">
        <f>AR38+AS38*1.96</f>
        <v>0.66</v>
      </c>
      <c r="AW38" s="32">
        <v>259</v>
      </c>
      <c r="AX38" s="32"/>
      <c r="AY38" s="32"/>
      <c r="AZ38" s="32">
        <v>1</v>
      </c>
      <c r="BA38" s="32">
        <v>1</v>
      </c>
      <c r="BB38" s="32" t="s">
        <v>520</v>
      </c>
      <c r="BC38" s="32" t="s">
        <v>328</v>
      </c>
      <c r="BD38" s="38" t="s">
        <v>521</v>
      </c>
      <c r="BE38" s="15" t="s">
        <v>522</v>
      </c>
      <c r="BF38" s="15" t="s">
        <v>568</v>
      </c>
    </row>
    <row r="39" spans="1:58" ht="45" x14ac:dyDescent="0.25">
      <c r="A39" s="32">
        <v>68</v>
      </c>
      <c r="B39" s="32">
        <v>0</v>
      </c>
      <c r="C39" s="16" t="s">
        <v>536</v>
      </c>
      <c r="D39" s="32">
        <v>2014</v>
      </c>
      <c r="E39" s="32" t="s">
        <v>537</v>
      </c>
      <c r="F39" s="16" t="s">
        <v>612</v>
      </c>
      <c r="G39" s="63" t="s">
        <v>370</v>
      </c>
      <c r="H39" s="28" t="s">
        <v>371</v>
      </c>
      <c r="I39" s="16" t="s">
        <v>538</v>
      </c>
      <c r="J39" s="16" t="s">
        <v>643</v>
      </c>
      <c r="K39" s="28" t="s">
        <v>572</v>
      </c>
      <c r="L39" s="16" t="s">
        <v>539</v>
      </c>
      <c r="M39" s="32" t="s">
        <v>540</v>
      </c>
      <c r="N39" s="32">
        <v>50000</v>
      </c>
      <c r="O39" s="30" t="s">
        <v>502</v>
      </c>
      <c r="P39" s="53" t="s">
        <v>197</v>
      </c>
      <c r="Q39" s="32" t="s">
        <v>197</v>
      </c>
      <c r="R39" s="32">
        <v>0</v>
      </c>
      <c r="S39" s="16" t="s">
        <v>541</v>
      </c>
      <c r="T39" s="16" t="s">
        <v>441</v>
      </c>
      <c r="U39" s="28" t="s">
        <v>542</v>
      </c>
      <c r="V39" s="32" t="s">
        <v>71</v>
      </c>
      <c r="W39" s="32" t="s">
        <v>86</v>
      </c>
      <c r="X39" s="33" t="s">
        <v>543</v>
      </c>
      <c r="Y39" s="32" t="s">
        <v>71</v>
      </c>
      <c r="Z39" s="33" t="s">
        <v>68</v>
      </c>
      <c r="AA39" s="32"/>
      <c r="AB39" s="32"/>
      <c r="AC39" s="32"/>
      <c r="AD39" s="32"/>
      <c r="AE39" s="32"/>
      <c r="AF39" s="32"/>
      <c r="AG39" s="32"/>
      <c r="AH39" s="32"/>
      <c r="AI39" s="32"/>
      <c r="AJ39" s="36"/>
      <c r="AK39" s="32"/>
      <c r="AL39" s="32"/>
      <c r="AM39" s="32"/>
      <c r="AN39" s="32"/>
      <c r="AO39" s="32"/>
      <c r="AP39" s="36"/>
      <c r="AQ39" s="32"/>
      <c r="AR39" s="32"/>
      <c r="AS39" s="32"/>
      <c r="AT39" s="32"/>
      <c r="AU39" s="32">
        <f>AR39-AS39*1.96</f>
        <v>0</v>
      </c>
      <c r="AV39" s="32">
        <f>AR39+AS39*1.96</f>
        <v>0</v>
      </c>
      <c r="AW39" s="32"/>
      <c r="AX39" s="32"/>
      <c r="AY39" s="32"/>
      <c r="AZ39" s="32"/>
      <c r="BA39" s="32"/>
      <c r="BB39" s="32"/>
      <c r="BC39" s="32"/>
      <c r="BD39" s="38"/>
      <c r="BE39" s="15"/>
      <c r="BF39" s="15" t="s">
        <v>544</v>
      </c>
    </row>
    <row r="40" spans="1:58" ht="45" x14ac:dyDescent="0.25">
      <c r="A40" s="69">
        <v>60</v>
      </c>
      <c r="B40" s="69">
        <v>1</v>
      </c>
      <c r="C40" s="15" t="s">
        <v>437</v>
      </c>
      <c r="D40" s="64">
        <v>2021</v>
      </c>
      <c r="E40" s="64" t="s">
        <v>438</v>
      </c>
      <c r="F40" s="16" t="s">
        <v>611</v>
      </c>
      <c r="G40" s="63" t="s">
        <v>262</v>
      </c>
      <c r="H40" s="28" t="s">
        <v>263</v>
      </c>
      <c r="I40" s="16" t="s">
        <v>439</v>
      </c>
      <c r="J40" s="16" t="s">
        <v>644</v>
      </c>
      <c r="K40" s="28" t="s">
        <v>574</v>
      </c>
      <c r="L40" s="16" t="s">
        <v>575</v>
      </c>
      <c r="M40" s="65" t="s">
        <v>440</v>
      </c>
      <c r="N40" s="32">
        <v>7656</v>
      </c>
      <c r="O40" s="30" t="s">
        <v>62</v>
      </c>
      <c r="P40" s="53" t="s">
        <v>197</v>
      </c>
      <c r="Q40" s="32" t="s">
        <v>197</v>
      </c>
      <c r="R40" s="32">
        <v>0</v>
      </c>
      <c r="S40" s="16" t="s">
        <v>410</v>
      </c>
      <c r="T40" s="16" t="s">
        <v>441</v>
      </c>
      <c r="U40" s="34" t="s">
        <v>442</v>
      </c>
      <c r="V40" s="66" t="s">
        <v>71</v>
      </c>
      <c r="W40" s="16" t="s">
        <v>86</v>
      </c>
      <c r="X40" s="34" t="s">
        <v>443</v>
      </c>
      <c r="Y40" s="32" t="s">
        <v>126</v>
      </c>
      <c r="Z40" s="34" t="s">
        <v>444</v>
      </c>
      <c r="AA40" s="48"/>
      <c r="AB40" s="67">
        <v>2.92</v>
      </c>
      <c r="AC40" s="67">
        <v>1.06</v>
      </c>
      <c r="AD40" s="32"/>
      <c r="AE40" s="32"/>
      <c r="AF40" s="32"/>
      <c r="AG40" s="32"/>
      <c r="AH40" s="32"/>
      <c r="AI40" s="32"/>
      <c r="AJ40" s="36"/>
      <c r="AK40" s="32"/>
      <c r="AL40" s="32"/>
      <c r="AM40" s="32"/>
      <c r="AN40" s="32"/>
      <c r="AO40" s="32"/>
      <c r="AP40" s="75" t="s">
        <v>445</v>
      </c>
      <c r="AQ40" s="16" t="s">
        <v>446</v>
      </c>
      <c r="AR40" s="28">
        <v>9.4500000000000001E-2</v>
      </c>
      <c r="AS40" s="28">
        <v>2.1999999999999999E-2</v>
      </c>
      <c r="AT40" s="32"/>
      <c r="AU40" s="32">
        <f>AR40-AS40*1.96</f>
        <v>5.1380000000000002E-2</v>
      </c>
      <c r="AV40" s="32">
        <f>AR40+AS40*1.96</f>
        <v>0.13761999999999999</v>
      </c>
      <c r="AW40" s="32">
        <v>6953</v>
      </c>
      <c r="AX40" s="32">
        <v>2.92</v>
      </c>
      <c r="AY40" s="32">
        <v>0.13700000000000001</v>
      </c>
      <c r="AZ40" s="32">
        <v>1</v>
      </c>
      <c r="BA40" s="32">
        <v>1</v>
      </c>
      <c r="BB40" s="32" t="s">
        <v>81</v>
      </c>
      <c r="BC40" s="32" t="s">
        <v>447</v>
      </c>
      <c r="BD40" s="38"/>
      <c r="BE40" s="15" t="s">
        <v>448</v>
      </c>
      <c r="BF40" s="68"/>
    </row>
    <row r="41" spans="1:58" ht="45" x14ac:dyDescent="0.25">
      <c r="A41" s="32">
        <v>71</v>
      </c>
      <c r="B41" s="67">
        <v>0</v>
      </c>
      <c r="C41" s="16" t="s">
        <v>620</v>
      </c>
      <c r="D41" s="32">
        <v>2019</v>
      </c>
      <c r="E41" s="32" t="s">
        <v>621</v>
      </c>
      <c r="F41" s="16" t="s">
        <v>613</v>
      </c>
      <c r="G41" s="63" t="s">
        <v>622</v>
      </c>
      <c r="H41" s="28" t="s">
        <v>622</v>
      </c>
      <c r="I41" s="16" t="s">
        <v>623</v>
      </c>
      <c r="J41" s="16" t="s">
        <v>646</v>
      </c>
      <c r="K41" s="28" t="s">
        <v>574</v>
      </c>
      <c r="L41" s="87" t="s">
        <v>629</v>
      </c>
      <c r="M41" s="28">
        <v>2</v>
      </c>
      <c r="O41" s="30" t="s">
        <v>62</v>
      </c>
      <c r="P41" s="53" t="s">
        <v>197</v>
      </c>
      <c r="Q41" s="32" t="s">
        <v>197</v>
      </c>
      <c r="R41" s="32">
        <v>0</v>
      </c>
      <c r="S41" s="15" t="s">
        <v>624</v>
      </c>
      <c r="T41" t="s">
        <v>625</v>
      </c>
      <c r="U41" s="87" t="s">
        <v>626</v>
      </c>
      <c r="V41" s="32" t="s">
        <v>71</v>
      </c>
      <c r="W41" s="32" t="s">
        <v>86</v>
      </c>
      <c r="X41" t="s">
        <v>627</v>
      </c>
      <c r="Y41" s="32" t="s">
        <v>71</v>
      </c>
      <c r="Z41" s="33" t="s">
        <v>628</v>
      </c>
      <c r="AA41" s="33" t="s">
        <v>81</v>
      </c>
      <c r="AJ41" s="36"/>
      <c r="AP41" s="82" t="s">
        <v>624</v>
      </c>
      <c r="AQ41" t="s">
        <v>630</v>
      </c>
      <c r="AR41" s="67">
        <v>-5.4899999999999997E-2</v>
      </c>
      <c r="AS41">
        <v>2.7099999999999999E-2</v>
      </c>
      <c r="AU41" s="32">
        <f>AR41-AS41*1.96</f>
        <v>-0.108016</v>
      </c>
      <c r="AV41" s="32">
        <f>AR41+AS41*1.96</f>
        <v>-1.7840000000000009E-3</v>
      </c>
      <c r="AZ41" s="32">
        <v>0</v>
      </c>
      <c r="BA41" s="32">
        <v>1</v>
      </c>
      <c r="BB41" s="32" t="s">
        <v>81</v>
      </c>
      <c r="BC41" s="32" t="s">
        <v>631</v>
      </c>
      <c r="BD41" s="38"/>
      <c r="BE41" s="15"/>
      <c r="BF41" s="15" t="s">
        <v>632</v>
      </c>
    </row>
    <row r="42" spans="1:58" ht="30" x14ac:dyDescent="0.25">
      <c r="A42" s="28">
        <v>61</v>
      </c>
      <c r="B42" s="28">
        <v>1</v>
      </c>
      <c r="C42" s="16" t="s">
        <v>449</v>
      </c>
      <c r="D42" s="32">
        <v>2021</v>
      </c>
      <c r="E42" s="32" t="s">
        <v>450</v>
      </c>
      <c r="F42" s="16" t="s">
        <v>594</v>
      </c>
      <c r="G42" s="63" t="s">
        <v>451</v>
      </c>
      <c r="H42" s="28" t="s">
        <v>452</v>
      </c>
      <c r="I42" s="16" t="s">
        <v>453</v>
      </c>
      <c r="J42" s="16" t="s">
        <v>645</v>
      </c>
      <c r="K42" s="28" t="s">
        <v>574</v>
      </c>
      <c r="L42" s="16" t="s">
        <v>641</v>
      </c>
      <c r="M42" s="32" t="s">
        <v>636</v>
      </c>
      <c r="N42" s="32">
        <v>40569</v>
      </c>
      <c r="O42" s="30" t="s">
        <v>97</v>
      </c>
      <c r="P42" s="53" t="s">
        <v>197</v>
      </c>
      <c r="Q42" s="32" t="s">
        <v>197</v>
      </c>
      <c r="R42" s="32">
        <v>0</v>
      </c>
      <c r="S42" s="15" t="s">
        <v>454</v>
      </c>
      <c r="T42" s="15" t="s">
        <v>455</v>
      </c>
      <c r="U42" s="15" t="s">
        <v>456</v>
      </c>
      <c r="V42" s="28" t="s">
        <v>71</v>
      </c>
      <c r="W42" s="16" t="s">
        <v>86</v>
      </c>
      <c r="X42" s="15" t="s">
        <v>457</v>
      </c>
      <c r="Y42" s="32" t="s">
        <v>458</v>
      </c>
      <c r="Z42" s="16" t="s">
        <v>640</v>
      </c>
      <c r="AA42" s="15" t="s">
        <v>459</v>
      </c>
      <c r="AB42" s="32">
        <v>0.248</v>
      </c>
      <c r="AC42" s="32">
        <v>0.432</v>
      </c>
      <c r="AD42" s="32"/>
      <c r="AE42" s="32"/>
      <c r="AF42" s="32"/>
      <c r="AG42" s="32"/>
      <c r="AH42" s="32"/>
      <c r="AI42" s="32"/>
      <c r="AJ42" s="36"/>
      <c r="AK42" s="32"/>
      <c r="AL42" s="32"/>
      <c r="AM42" s="32"/>
      <c r="AN42" s="32"/>
      <c r="AO42" s="32"/>
      <c r="AP42" s="75" t="s">
        <v>460</v>
      </c>
      <c r="AQ42" s="16" t="s">
        <v>461</v>
      </c>
      <c r="AR42" s="28">
        <v>5.2999999999999999E-2</v>
      </c>
      <c r="AS42" s="28">
        <v>1.7000000000000001E-2</v>
      </c>
      <c r="AT42" s="32"/>
      <c r="AU42" s="32">
        <f>AR42-AS42*1.96</f>
        <v>1.9679999999999996E-2</v>
      </c>
      <c r="AV42" s="32">
        <f>AR42+AS42*1.96</f>
        <v>8.6320000000000008E-2</v>
      </c>
      <c r="AW42" s="32">
        <v>40569</v>
      </c>
      <c r="AX42" s="32">
        <v>0.432</v>
      </c>
      <c r="AY42" s="32">
        <v>0.45300000000000001</v>
      </c>
      <c r="AZ42" s="32">
        <v>0</v>
      </c>
      <c r="BA42" s="32">
        <v>0</v>
      </c>
      <c r="BB42" s="32" t="s">
        <v>81</v>
      </c>
      <c r="BC42" s="32" t="s">
        <v>325</v>
      </c>
      <c r="BD42" s="38"/>
      <c r="BE42" s="15"/>
      <c r="BF42" s="16"/>
    </row>
    <row r="43" spans="1:58" ht="30" x14ac:dyDescent="0.25">
      <c r="A43" s="69">
        <v>64</v>
      </c>
      <c r="B43" s="66">
        <v>0</v>
      </c>
      <c r="C43" s="15" t="s">
        <v>486</v>
      </c>
      <c r="D43" s="32">
        <v>2013</v>
      </c>
      <c r="E43" s="32" t="s">
        <v>487</v>
      </c>
      <c r="F43" s="16" t="s">
        <v>604</v>
      </c>
      <c r="G43" s="63" t="s">
        <v>234</v>
      </c>
      <c r="H43" s="28" t="s">
        <v>235</v>
      </c>
      <c r="I43" s="26" t="s">
        <v>236</v>
      </c>
      <c r="J43" s="26" t="s">
        <v>645</v>
      </c>
      <c r="K43" s="28" t="s">
        <v>572</v>
      </c>
      <c r="L43" s="15" t="s">
        <v>488</v>
      </c>
      <c r="M43" s="32" t="s">
        <v>489</v>
      </c>
      <c r="N43" s="32">
        <v>180</v>
      </c>
      <c r="O43" s="30" t="s">
        <v>97</v>
      </c>
      <c r="P43" s="41" t="s">
        <v>490</v>
      </c>
      <c r="Q43" s="32" t="s">
        <v>98</v>
      </c>
      <c r="R43" s="32">
        <v>1</v>
      </c>
      <c r="S43" s="15" t="s">
        <v>491</v>
      </c>
      <c r="T43" s="15" t="s">
        <v>492</v>
      </c>
      <c r="U43" s="15" t="s">
        <v>493</v>
      </c>
      <c r="V43" s="28" t="s">
        <v>494</v>
      </c>
      <c r="W43" s="28">
        <v>10</v>
      </c>
      <c r="X43" s="56" t="s">
        <v>495</v>
      </c>
      <c r="Y43" s="32" t="s">
        <v>496</v>
      </c>
      <c r="Z43" s="16" t="s">
        <v>497</v>
      </c>
      <c r="AA43" s="15"/>
      <c r="AB43" s="9"/>
      <c r="AC43" s="9"/>
      <c r="AD43" s="9"/>
      <c r="AE43" s="9"/>
      <c r="AF43" s="9"/>
      <c r="AG43" s="9"/>
      <c r="AH43" s="9"/>
      <c r="AI43" s="32"/>
      <c r="AJ43" s="36"/>
      <c r="AK43" s="32"/>
      <c r="AL43" s="32"/>
      <c r="AM43" s="32"/>
      <c r="AN43" s="32"/>
      <c r="AO43" s="32"/>
      <c r="AP43" s="75"/>
      <c r="AQ43" s="32"/>
      <c r="AR43" s="32"/>
      <c r="AS43" s="32"/>
      <c r="AT43" s="32"/>
      <c r="AU43" s="32"/>
      <c r="AV43" s="32"/>
      <c r="AW43" s="32"/>
      <c r="AX43" s="32"/>
      <c r="AY43" s="32"/>
      <c r="AZ43" s="32"/>
      <c r="BA43" s="32"/>
      <c r="BB43" s="32"/>
      <c r="BC43" s="32"/>
      <c r="BD43" s="38"/>
      <c r="BE43" s="15"/>
      <c r="BF43" s="46" t="s">
        <v>498</v>
      </c>
    </row>
    <row r="44" spans="1:58" ht="45" x14ac:dyDescent="0.25">
      <c r="A44" s="69">
        <v>62</v>
      </c>
      <c r="B44" s="66">
        <v>0</v>
      </c>
      <c r="C44" s="16" t="s">
        <v>462</v>
      </c>
      <c r="D44" s="32">
        <v>2017</v>
      </c>
      <c r="E44" s="32" t="s">
        <v>463</v>
      </c>
      <c r="F44" s="16" t="s">
        <v>612</v>
      </c>
      <c r="G44" s="63" t="s">
        <v>211</v>
      </c>
      <c r="H44" s="28" t="s">
        <v>212</v>
      </c>
      <c r="I44" s="16" t="s">
        <v>213</v>
      </c>
      <c r="J44" s="16" t="s">
        <v>645</v>
      </c>
      <c r="K44" s="28" t="s">
        <v>574</v>
      </c>
      <c r="L44" s="16" t="s">
        <v>464</v>
      </c>
      <c r="M44" s="32">
        <v>6</v>
      </c>
      <c r="N44" s="32">
        <v>227</v>
      </c>
      <c r="O44" s="30" t="s">
        <v>62</v>
      </c>
      <c r="P44" s="53" t="s">
        <v>197</v>
      </c>
      <c r="Q44" s="32" t="s">
        <v>197</v>
      </c>
      <c r="R44" s="28">
        <v>0</v>
      </c>
      <c r="S44" s="15" t="s">
        <v>580</v>
      </c>
      <c r="T44" s="16" t="s">
        <v>465</v>
      </c>
      <c r="U44" s="16" t="s">
        <v>466</v>
      </c>
      <c r="V44" s="28" t="s">
        <v>71</v>
      </c>
      <c r="W44" s="28" t="s">
        <v>86</v>
      </c>
      <c r="X44" s="16" t="s">
        <v>467</v>
      </c>
      <c r="Y44" s="32">
        <v>0</v>
      </c>
      <c r="Z44" s="16" t="s">
        <v>468</v>
      </c>
      <c r="AA44" s="16" t="s">
        <v>469</v>
      </c>
      <c r="AB44" s="32">
        <v>0.16200000000000001</v>
      </c>
      <c r="AC44" s="32">
        <v>0.20899999999999999</v>
      </c>
      <c r="AD44" s="32"/>
      <c r="AE44" s="32"/>
      <c r="AF44" s="32"/>
      <c r="AG44" s="32"/>
      <c r="AH44" s="32"/>
      <c r="AI44" s="32"/>
      <c r="AJ44" s="36"/>
      <c r="AK44" s="32"/>
      <c r="AL44" s="32"/>
      <c r="AM44" s="32"/>
      <c r="AN44" s="32"/>
      <c r="AO44" s="32"/>
      <c r="AP44" s="75" t="s">
        <v>470</v>
      </c>
      <c r="AQ44" s="33" t="s">
        <v>471</v>
      </c>
      <c r="AR44" s="32">
        <v>0.11</v>
      </c>
      <c r="AS44" s="32">
        <v>0.183</v>
      </c>
      <c r="AT44" s="32"/>
      <c r="AU44" s="32">
        <f t="shared" ref="AU44:AU49" si="2">AR44-AS44*1.96</f>
        <v>-0.24868000000000001</v>
      </c>
      <c r="AV44" s="32">
        <f t="shared" ref="AV44:AV49" si="3">AR44+AS44*1.96</f>
        <v>0.46867999999999999</v>
      </c>
      <c r="AW44" s="32">
        <v>227</v>
      </c>
      <c r="AX44" s="32"/>
      <c r="AY44" s="32"/>
      <c r="AZ44" s="32">
        <v>1</v>
      </c>
      <c r="BA44" s="32">
        <v>0</v>
      </c>
      <c r="BB44" s="32" t="s">
        <v>81</v>
      </c>
      <c r="BC44" s="32" t="s">
        <v>472</v>
      </c>
      <c r="BD44" s="38" t="s">
        <v>473</v>
      </c>
      <c r="BE44" s="15"/>
      <c r="BF44" s="46" t="s">
        <v>570</v>
      </c>
    </row>
    <row r="45" spans="1:58" ht="60" x14ac:dyDescent="0.25">
      <c r="A45" s="28">
        <v>63</v>
      </c>
      <c r="B45" s="28">
        <v>0</v>
      </c>
      <c r="C45" s="16" t="s">
        <v>474</v>
      </c>
      <c r="D45" s="32">
        <v>2014</v>
      </c>
      <c r="E45" s="32" t="s">
        <v>475</v>
      </c>
      <c r="F45" s="16" t="s">
        <v>613</v>
      </c>
      <c r="G45" s="63" t="s">
        <v>211</v>
      </c>
      <c r="H45" s="28" t="s">
        <v>212</v>
      </c>
      <c r="I45" s="16" t="s">
        <v>213</v>
      </c>
      <c r="J45" s="16" t="s">
        <v>645</v>
      </c>
      <c r="K45" s="28" t="s">
        <v>574</v>
      </c>
      <c r="L45" s="49" t="s">
        <v>476</v>
      </c>
      <c r="M45" s="32">
        <v>4</v>
      </c>
      <c r="N45" s="32"/>
      <c r="O45" s="30" t="s">
        <v>62</v>
      </c>
      <c r="P45" s="53" t="s">
        <v>197</v>
      </c>
      <c r="Q45" s="32" t="s">
        <v>197</v>
      </c>
      <c r="R45" s="28">
        <v>0</v>
      </c>
      <c r="S45" s="15" t="s">
        <v>580</v>
      </c>
      <c r="T45" s="16" t="s">
        <v>465</v>
      </c>
      <c r="U45" s="49" t="s">
        <v>477</v>
      </c>
      <c r="V45" s="70" t="s">
        <v>71</v>
      </c>
      <c r="W45" s="49" t="s">
        <v>86</v>
      </c>
      <c r="X45" s="99" t="s">
        <v>478</v>
      </c>
      <c r="Y45" s="32">
        <v>0</v>
      </c>
      <c r="Z45" s="15" t="s">
        <v>479</v>
      </c>
      <c r="AA45" s="15" t="s">
        <v>480</v>
      </c>
      <c r="AB45" s="17"/>
      <c r="AC45" s="17"/>
      <c r="AD45" s="32"/>
      <c r="AE45" s="32"/>
      <c r="AF45" s="32"/>
      <c r="AG45" s="32"/>
      <c r="AH45" s="32"/>
      <c r="AI45" s="32"/>
      <c r="AJ45" s="36"/>
      <c r="AK45" s="32"/>
      <c r="AL45" s="32"/>
      <c r="AM45" s="32"/>
      <c r="AN45" s="32"/>
      <c r="AO45" s="32"/>
      <c r="AP45" s="75" t="s">
        <v>62</v>
      </c>
      <c r="AQ45" s="16" t="s">
        <v>481</v>
      </c>
      <c r="AR45" s="32">
        <v>4.7999999999999996E-3</v>
      </c>
      <c r="AS45" s="32">
        <v>2.2000000000000001E-3</v>
      </c>
      <c r="AT45" s="32"/>
      <c r="AU45" s="32">
        <f t="shared" si="2"/>
        <v>4.8799999999999972E-4</v>
      </c>
      <c r="AV45" s="32">
        <f t="shared" si="3"/>
        <v>9.1119999999999986E-3</v>
      </c>
      <c r="AW45" s="32" t="s">
        <v>74</v>
      </c>
      <c r="AX45" s="32"/>
      <c r="AY45" s="32"/>
      <c r="AZ45" s="32">
        <v>1</v>
      </c>
      <c r="BA45" s="32">
        <v>1</v>
      </c>
      <c r="BB45" s="32" t="s">
        <v>482</v>
      </c>
      <c r="BC45" s="32" t="s">
        <v>483</v>
      </c>
      <c r="BD45" s="38" t="s">
        <v>484</v>
      </c>
      <c r="BE45" s="15"/>
      <c r="BF45" s="16" t="s">
        <v>485</v>
      </c>
    </row>
    <row r="46" spans="1:58" ht="30" x14ac:dyDescent="0.25">
      <c r="A46" s="32">
        <v>36</v>
      </c>
      <c r="B46" s="32">
        <v>0</v>
      </c>
      <c r="C46" s="16" t="s">
        <v>302</v>
      </c>
      <c r="D46" s="32">
        <v>2018</v>
      </c>
      <c r="E46" s="32" t="s">
        <v>303</v>
      </c>
      <c r="F46" s="16" t="s">
        <v>602</v>
      </c>
      <c r="G46" s="30" t="s">
        <v>304</v>
      </c>
      <c r="H46" s="32" t="s">
        <v>305</v>
      </c>
      <c r="I46" s="16" t="s">
        <v>306</v>
      </c>
      <c r="J46" s="16" t="s">
        <v>643</v>
      </c>
      <c r="K46" s="28" t="s">
        <v>574</v>
      </c>
      <c r="L46" s="16" t="s">
        <v>307</v>
      </c>
      <c r="M46" s="32" t="s">
        <v>71</v>
      </c>
      <c r="N46" s="29">
        <v>12687</v>
      </c>
      <c r="O46" s="30" t="s">
        <v>308</v>
      </c>
      <c r="P46" s="53" t="s">
        <v>197</v>
      </c>
      <c r="Q46" s="32" t="s">
        <v>197</v>
      </c>
      <c r="R46" s="32">
        <v>0</v>
      </c>
      <c r="S46" s="16" t="s">
        <v>198</v>
      </c>
      <c r="T46" s="16" t="s">
        <v>199</v>
      </c>
      <c r="U46" s="54" t="s">
        <v>309</v>
      </c>
      <c r="V46" s="54" t="s">
        <v>310</v>
      </c>
      <c r="W46" s="16" t="s">
        <v>86</v>
      </c>
      <c r="X46" s="42" t="s">
        <v>311</v>
      </c>
      <c r="Y46" s="37" t="s">
        <v>312</v>
      </c>
      <c r="Z46" s="42" t="s">
        <v>313</v>
      </c>
      <c r="AA46" s="42" t="s">
        <v>314</v>
      </c>
      <c r="AB46" s="32">
        <v>2.87</v>
      </c>
      <c r="AC46" s="32">
        <v>0.96</v>
      </c>
      <c r="AD46" s="32"/>
      <c r="AE46" s="32"/>
      <c r="AF46" s="32"/>
      <c r="AG46" s="32"/>
      <c r="AH46" s="32"/>
      <c r="AI46" s="32"/>
      <c r="AJ46" s="36"/>
      <c r="AK46" s="32"/>
      <c r="AL46" s="32"/>
      <c r="AM46" s="32"/>
      <c r="AN46" s="32"/>
      <c r="AO46" s="32"/>
      <c r="AP46" s="75"/>
      <c r="AQ46" s="16"/>
      <c r="AR46" s="28" t="s">
        <v>315</v>
      </c>
      <c r="AS46" s="28" t="s">
        <v>316</v>
      </c>
      <c r="AT46" s="32"/>
      <c r="AU46" s="32">
        <f t="shared" si="2"/>
        <v>6.6679999999999989E-2</v>
      </c>
      <c r="AV46" s="32">
        <f t="shared" si="3"/>
        <v>0.23132</v>
      </c>
      <c r="AW46" s="32"/>
      <c r="AX46" s="32"/>
      <c r="AY46" s="32"/>
      <c r="AZ46" s="32">
        <v>1</v>
      </c>
      <c r="BA46" s="32">
        <v>1</v>
      </c>
      <c r="BB46" s="32"/>
      <c r="BC46" s="32"/>
      <c r="BD46" s="38" t="s">
        <v>317</v>
      </c>
      <c r="BE46" s="15" t="s">
        <v>318</v>
      </c>
      <c r="BF46" s="59" t="s">
        <v>319</v>
      </c>
    </row>
    <row r="47" spans="1:58" ht="60" x14ac:dyDescent="0.25">
      <c r="A47" s="32">
        <v>70</v>
      </c>
      <c r="B47" s="67">
        <v>0</v>
      </c>
      <c r="C47" s="16" t="s">
        <v>581</v>
      </c>
      <c r="D47" s="32">
        <v>2019</v>
      </c>
      <c r="E47" s="32" t="s">
        <v>582</v>
      </c>
      <c r="F47" s="16" t="s">
        <v>613</v>
      </c>
      <c r="G47" s="63" t="s">
        <v>234</v>
      </c>
      <c r="H47" s="28" t="s">
        <v>235</v>
      </c>
      <c r="I47" s="16" t="s">
        <v>583</v>
      </c>
      <c r="J47" s="16" t="s">
        <v>646</v>
      </c>
      <c r="K47" s="28" t="s">
        <v>574</v>
      </c>
      <c r="L47" s="86" t="s">
        <v>577</v>
      </c>
      <c r="M47" s="28" t="s">
        <v>636</v>
      </c>
      <c r="N47" s="29">
        <v>5819</v>
      </c>
      <c r="O47" s="30" t="s">
        <v>62</v>
      </c>
      <c r="P47" s="53" t="s">
        <v>197</v>
      </c>
      <c r="Q47" s="32" t="s">
        <v>197</v>
      </c>
      <c r="R47" s="32">
        <v>0</v>
      </c>
      <c r="S47" s="15" t="s">
        <v>580</v>
      </c>
      <c r="T47" t="s">
        <v>579</v>
      </c>
      <c r="U47" s="87" t="s">
        <v>578</v>
      </c>
      <c r="V47" s="32" t="s">
        <v>71</v>
      </c>
      <c r="W47" s="32" t="s">
        <v>86</v>
      </c>
      <c r="X47" t="s">
        <v>585</v>
      </c>
      <c r="Y47" s="67">
        <v>0</v>
      </c>
      <c r="Z47" s="34" t="s">
        <v>586</v>
      </c>
      <c r="AA47" s="33" t="s">
        <v>587</v>
      </c>
      <c r="AB47">
        <v>2.9</v>
      </c>
      <c r="AC47">
        <v>0.6</v>
      </c>
      <c r="AJ47" s="36"/>
      <c r="AP47" s="93" t="s">
        <v>62</v>
      </c>
      <c r="AQ47" s="86" t="s">
        <v>588</v>
      </c>
      <c r="AR47" s="32">
        <v>-1.4E-2</v>
      </c>
      <c r="AS47" s="67">
        <v>1.7000000000000001E-2</v>
      </c>
      <c r="AU47" s="32">
        <f t="shared" si="2"/>
        <v>-4.7320000000000001E-2</v>
      </c>
      <c r="AV47" s="32">
        <f t="shared" si="3"/>
        <v>1.9320000000000004E-2</v>
      </c>
      <c r="AW47" s="32">
        <v>5819</v>
      </c>
      <c r="AX47" s="67">
        <v>0.6</v>
      </c>
      <c r="AY47" s="67">
        <v>0.5</v>
      </c>
      <c r="AZ47" s="67">
        <v>1</v>
      </c>
      <c r="BA47" s="32">
        <v>1</v>
      </c>
      <c r="BB47" s="32" t="s">
        <v>589</v>
      </c>
      <c r="BC47" s="32" t="s">
        <v>590</v>
      </c>
      <c r="BD47" s="38" t="s">
        <v>591</v>
      </c>
      <c r="BE47" s="15"/>
      <c r="BF47" s="15" t="s">
        <v>592</v>
      </c>
    </row>
    <row r="48" spans="1:58" ht="75" x14ac:dyDescent="0.25">
      <c r="A48" s="28">
        <v>59</v>
      </c>
      <c r="B48" s="28">
        <v>1</v>
      </c>
      <c r="C48" s="15" t="s">
        <v>427</v>
      </c>
      <c r="D48" s="28">
        <v>2020</v>
      </c>
      <c r="E48" s="28" t="s">
        <v>428</v>
      </c>
      <c r="F48" s="16" t="s">
        <v>610</v>
      </c>
      <c r="G48" s="63" t="s">
        <v>57</v>
      </c>
      <c r="H48" s="28" t="s">
        <v>58</v>
      </c>
      <c r="I48" s="16" t="s">
        <v>429</v>
      </c>
      <c r="J48" s="16" t="s">
        <v>644</v>
      </c>
      <c r="K48" s="28" t="s">
        <v>574</v>
      </c>
      <c r="L48" s="16" t="s">
        <v>637</v>
      </c>
      <c r="M48" s="32">
        <v>48</v>
      </c>
      <c r="N48" s="29">
        <v>2932</v>
      </c>
      <c r="O48" s="30" t="s">
        <v>62</v>
      </c>
      <c r="P48" s="53" t="s">
        <v>197</v>
      </c>
      <c r="Q48" s="32" t="s">
        <v>197</v>
      </c>
      <c r="R48" s="32">
        <v>0</v>
      </c>
      <c r="S48" s="15" t="s">
        <v>580</v>
      </c>
      <c r="T48" s="16" t="s">
        <v>431</v>
      </c>
      <c r="U48" s="16" t="s">
        <v>432</v>
      </c>
      <c r="V48" s="28" t="s">
        <v>71</v>
      </c>
      <c r="W48" s="16" t="s">
        <v>86</v>
      </c>
      <c r="X48" s="16" t="s">
        <v>433</v>
      </c>
      <c r="Y48" s="32" t="s">
        <v>71</v>
      </c>
      <c r="Z48" s="16" t="s">
        <v>639</v>
      </c>
      <c r="AA48" s="28"/>
      <c r="AB48" s="32"/>
      <c r="AC48" s="32"/>
      <c r="AD48" s="32">
        <v>0.216</v>
      </c>
      <c r="AE48" s="32">
        <v>0.41099999999999998</v>
      </c>
      <c r="AF48" s="32"/>
      <c r="AG48" s="32">
        <v>0.25</v>
      </c>
      <c r="AH48" s="32">
        <v>0.434</v>
      </c>
      <c r="AI48" s="32"/>
      <c r="AJ48" s="36"/>
      <c r="AK48" s="32"/>
      <c r="AL48" s="32"/>
      <c r="AM48" s="32"/>
      <c r="AN48" s="32"/>
      <c r="AO48" s="32"/>
      <c r="AP48" s="75" t="s">
        <v>434</v>
      </c>
      <c r="AQ48" s="16" t="s">
        <v>435</v>
      </c>
      <c r="AR48" s="28">
        <v>-0.13100000000000001</v>
      </c>
      <c r="AS48" s="28">
        <v>0</v>
      </c>
      <c r="AT48" s="32"/>
      <c r="AU48" s="32">
        <f t="shared" si="2"/>
        <v>-0.13100000000000001</v>
      </c>
      <c r="AV48" s="32">
        <f t="shared" si="3"/>
        <v>-0.13100000000000001</v>
      </c>
      <c r="AW48" s="32">
        <v>2932</v>
      </c>
      <c r="AX48" s="32">
        <v>0.41599999999999998</v>
      </c>
      <c r="AY48" s="32">
        <v>0.38700000000000001</v>
      </c>
      <c r="AZ48" s="32">
        <v>0</v>
      </c>
      <c r="BA48" s="32">
        <v>1</v>
      </c>
      <c r="BB48" s="32" t="s">
        <v>81</v>
      </c>
      <c r="BC48" s="32" t="s">
        <v>436</v>
      </c>
      <c r="BD48" s="38"/>
      <c r="BE48" s="15"/>
      <c r="BF48" s="16"/>
    </row>
    <row r="49" spans="1:58" ht="45" x14ac:dyDescent="0.25">
      <c r="A49" s="32">
        <v>67</v>
      </c>
      <c r="B49" s="32">
        <v>0</v>
      </c>
      <c r="C49" s="16" t="s">
        <v>523</v>
      </c>
      <c r="D49" s="32">
        <v>2014</v>
      </c>
      <c r="E49" s="32" t="s">
        <v>524</v>
      </c>
      <c r="F49" s="16" t="s">
        <v>616</v>
      </c>
      <c r="G49" s="63" t="s">
        <v>525</v>
      </c>
      <c r="H49" s="32" t="s">
        <v>526</v>
      </c>
      <c r="I49" s="16" t="s">
        <v>527</v>
      </c>
      <c r="J49" s="16" t="s">
        <v>646</v>
      </c>
      <c r="K49" s="28" t="s">
        <v>574</v>
      </c>
      <c r="L49" s="16" t="s">
        <v>576</v>
      </c>
      <c r="M49" s="32" t="s">
        <v>636</v>
      </c>
      <c r="N49" s="29">
        <v>383</v>
      </c>
      <c r="O49" s="30" t="s">
        <v>62</v>
      </c>
      <c r="P49" s="53" t="s">
        <v>197</v>
      </c>
      <c r="Q49" s="32" t="s">
        <v>197</v>
      </c>
      <c r="R49" s="32">
        <v>0</v>
      </c>
      <c r="S49" s="15" t="s">
        <v>580</v>
      </c>
      <c r="T49" s="16" t="s">
        <v>528</v>
      </c>
      <c r="U49" s="16" t="s">
        <v>529</v>
      </c>
      <c r="V49" s="32" t="s">
        <v>71</v>
      </c>
      <c r="W49" s="32" t="s">
        <v>86</v>
      </c>
      <c r="X49" s="16" t="s">
        <v>530</v>
      </c>
      <c r="Y49" s="32" t="s">
        <v>126</v>
      </c>
      <c r="Z49" s="16" t="s">
        <v>531</v>
      </c>
      <c r="AA49" s="33" t="s">
        <v>81</v>
      </c>
      <c r="AB49" s="32"/>
      <c r="AC49" s="32"/>
      <c r="AD49" s="32"/>
      <c r="AE49" s="32"/>
      <c r="AF49" s="32"/>
      <c r="AG49" s="32"/>
      <c r="AH49" s="32"/>
      <c r="AI49" s="32"/>
      <c r="AJ49" s="36"/>
      <c r="AK49" s="32"/>
      <c r="AL49" s="32"/>
      <c r="AM49" s="32"/>
      <c r="AN49" s="32"/>
      <c r="AO49" s="32"/>
      <c r="AP49" s="81" t="s">
        <v>532</v>
      </c>
      <c r="AQ49" s="33" t="s">
        <v>533</v>
      </c>
      <c r="AR49" s="32">
        <v>1.7000000000000001E-2</v>
      </c>
      <c r="AS49" s="32"/>
      <c r="AT49" s="32">
        <v>4.0000000000000001E-3</v>
      </c>
      <c r="AU49" s="32">
        <f t="shared" si="2"/>
        <v>1.7000000000000001E-2</v>
      </c>
      <c r="AV49" s="32">
        <f t="shared" si="3"/>
        <v>1.7000000000000001E-2</v>
      </c>
      <c r="AW49" s="29">
        <v>383</v>
      </c>
      <c r="AX49" s="32"/>
      <c r="AY49" s="32"/>
      <c r="AZ49" s="32">
        <v>1</v>
      </c>
      <c r="BA49" s="32">
        <v>1</v>
      </c>
      <c r="BB49" s="32" t="s">
        <v>81</v>
      </c>
      <c r="BC49" s="32" t="s">
        <v>366</v>
      </c>
      <c r="BD49" s="38" t="s">
        <v>534</v>
      </c>
      <c r="BE49" s="15"/>
      <c r="BF49" s="15" t="s">
        <v>535</v>
      </c>
    </row>
    <row r="50" spans="1:58" ht="30" x14ac:dyDescent="0.25">
      <c r="A50" s="32">
        <v>69</v>
      </c>
      <c r="B50" s="32">
        <v>0</v>
      </c>
      <c r="C50" s="16" t="s">
        <v>569</v>
      </c>
      <c r="D50" s="32">
        <v>2014</v>
      </c>
      <c r="E50" s="32" t="s">
        <v>545</v>
      </c>
      <c r="F50" s="16" t="s">
        <v>617</v>
      </c>
      <c r="G50" s="63" t="s">
        <v>370</v>
      </c>
      <c r="H50" s="28" t="s">
        <v>371</v>
      </c>
      <c r="I50" s="16" t="s">
        <v>546</v>
      </c>
      <c r="J50" s="16" t="s">
        <v>645</v>
      </c>
      <c r="K50" s="28" t="s">
        <v>574</v>
      </c>
      <c r="L50" s="16" t="s">
        <v>561</v>
      </c>
      <c r="M50" s="32">
        <v>18</v>
      </c>
      <c r="N50" s="32">
        <v>448223</v>
      </c>
      <c r="O50" s="30" t="s">
        <v>97</v>
      </c>
      <c r="P50" s="53" t="s">
        <v>197</v>
      </c>
      <c r="Q50" s="32" t="s">
        <v>197</v>
      </c>
      <c r="R50" s="32">
        <v>0</v>
      </c>
      <c r="S50" s="15" t="s">
        <v>454</v>
      </c>
      <c r="T50" s="16" t="s">
        <v>465</v>
      </c>
      <c r="U50" s="16" t="s">
        <v>562</v>
      </c>
      <c r="V50" s="32" t="s">
        <v>71</v>
      </c>
      <c r="W50" s="32" t="s">
        <v>86</v>
      </c>
      <c r="X50" s="33" t="s">
        <v>563</v>
      </c>
      <c r="Y50" s="32" t="s">
        <v>126</v>
      </c>
      <c r="Z50" s="16" t="s">
        <v>639</v>
      </c>
      <c r="AA50" s="33" t="s">
        <v>203</v>
      </c>
      <c r="AB50" s="32"/>
      <c r="AC50" s="32"/>
      <c r="AD50" s="32"/>
      <c r="AE50" s="32"/>
      <c r="AF50" s="32"/>
      <c r="AG50" s="32"/>
      <c r="AH50" s="32"/>
      <c r="AI50" s="32"/>
      <c r="AJ50" s="36"/>
      <c r="AK50" s="32"/>
      <c r="AL50" s="32"/>
      <c r="AM50" s="32"/>
      <c r="AN50" s="32"/>
      <c r="AO50" s="32"/>
      <c r="AP50" s="81" t="s">
        <v>460</v>
      </c>
      <c r="AQ50" s="33" t="s">
        <v>564</v>
      </c>
      <c r="AR50" s="32">
        <v>0.01</v>
      </c>
      <c r="AS50" s="32"/>
      <c r="AT50" s="32"/>
      <c r="AU50" s="32"/>
      <c r="AV50" s="32"/>
      <c r="AW50" s="32">
        <v>488223</v>
      </c>
      <c r="AX50" s="32"/>
      <c r="AY50" s="32"/>
      <c r="AZ50" s="32" t="s">
        <v>566</v>
      </c>
      <c r="BA50" s="32">
        <v>1</v>
      </c>
      <c r="BB50" s="32" t="s">
        <v>482</v>
      </c>
      <c r="BC50" s="32" t="s">
        <v>565</v>
      </c>
      <c r="BD50" s="38"/>
      <c r="BE50" s="15" t="s">
        <v>567</v>
      </c>
      <c r="BF50" s="15" t="s">
        <v>568</v>
      </c>
    </row>
    <row r="51" spans="1:58" x14ac:dyDescent="0.25">
      <c r="B51" s="94"/>
      <c r="BD51" s="38"/>
    </row>
    <row r="52" spans="1:58" x14ac:dyDescent="0.25">
      <c r="BD52" s="38"/>
    </row>
    <row r="53" spans="1:58" x14ac:dyDescent="0.25">
      <c r="BD53" s="38"/>
    </row>
    <row r="54" spans="1:58" x14ac:dyDescent="0.25">
      <c r="BD54" s="38"/>
    </row>
    <row r="55" spans="1:58" x14ac:dyDescent="0.25">
      <c r="BD55" s="38"/>
    </row>
    <row r="56" spans="1:58" x14ac:dyDescent="0.25">
      <c r="BD56" s="38"/>
    </row>
  </sheetData>
  <autoFilter ref="A3:BF50" xr:uid="{54E40401-491A-4D2D-ACAC-5A3F4A41CB0D}">
    <filterColumn colId="10">
      <filters>
        <filter val="Primary"/>
      </filters>
    </filterColumn>
    <filterColumn colId="15">
      <filters>
        <filter val="Survey"/>
      </filters>
    </filterColumn>
    <sortState xmlns:xlrd2="http://schemas.microsoft.com/office/spreadsheetml/2017/richdata2" ref="A18:BF50">
      <sortCondition ref="K3:K50"/>
    </sortState>
  </autoFilter>
  <mergeCells count="4">
    <mergeCell ref="AB1:BD1"/>
    <mergeCell ref="AB2:AI2"/>
    <mergeCell ref="AJ2:AL2"/>
    <mergeCell ref="AR2:BD2"/>
  </mergeCells>
  <conditionalFormatting sqref="C49:F50">
    <cfRule type="expression" dxfId="149" priority="16">
      <formula>LEN(C49)=0</formula>
    </cfRule>
  </conditionalFormatting>
  <conditionalFormatting sqref="F6:F44">
    <cfRule type="expression" dxfId="148" priority="15">
      <formula>LEN(F6)=0</formula>
    </cfRule>
  </conditionalFormatting>
  <conditionalFormatting sqref="I29:J35 L29:M35">
    <cfRule type="expression" dxfId="147" priority="110">
      <formula>LEN(I29)=0</formula>
    </cfRule>
  </conditionalFormatting>
  <conditionalFormatting sqref="I39:J39">
    <cfRule type="expression" dxfId="146" priority="24">
      <formula>LEN(I39)=0</formula>
    </cfRule>
  </conditionalFormatting>
  <conditionalFormatting sqref="I46:J50">
    <cfRule type="expression" dxfId="145" priority="63">
      <formula>LEN(I46)=0</formula>
    </cfRule>
  </conditionalFormatting>
  <conditionalFormatting sqref="I27:M28">
    <cfRule type="expression" dxfId="144" priority="123">
      <formula>LEN(I27)=0</formula>
    </cfRule>
  </conditionalFormatting>
  <conditionalFormatting sqref="K22">
    <cfRule type="expression" dxfId="143" priority="25">
      <formula>LEN(K22)=0</formula>
    </cfRule>
  </conditionalFormatting>
  <conditionalFormatting sqref="K29:K37 I36:V37">
    <cfRule type="expression" dxfId="142" priority="171">
      <formula>LEN(I29)=0</formula>
    </cfRule>
  </conditionalFormatting>
  <conditionalFormatting sqref="K39:K50">
    <cfRule type="expression" dxfId="141" priority="18">
      <formula>LEN(K39)=0</formula>
    </cfRule>
  </conditionalFormatting>
  <conditionalFormatting sqref="L39">
    <cfRule type="expression" dxfId="140" priority="90">
      <formula>LEN(L39)=0</formula>
    </cfRule>
  </conditionalFormatting>
  <conditionalFormatting sqref="L47:L48">
    <cfRule type="expression" dxfId="139" priority="61">
      <formula>LEN(L47)=0</formula>
    </cfRule>
  </conditionalFormatting>
  <conditionalFormatting sqref="M40:M41">
    <cfRule type="expression" dxfId="138" priority="89">
      <formula>LEN(M40)=0</formula>
    </cfRule>
  </conditionalFormatting>
  <conditionalFormatting sqref="M47:M50">
    <cfRule type="expression" dxfId="137" priority="22">
      <formula>LEN(M47)=0</formula>
    </cfRule>
  </conditionalFormatting>
  <conditionalFormatting sqref="N41:N44">
    <cfRule type="expression" dxfId="136" priority="88">
      <formula>LEN(N41)=0</formula>
    </cfRule>
  </conditionalFormatting>
  <conditionalFormatting sqref="N9:Q14">
    <cfRule type="expression" dxfId="135" priority="93">
      <formula>LEN(N9)=0</formula>
    </cfRule>
  </conditionalFormatting>
  <conditionalFormatting sqref="N25:Q28">
    <cfRule type="expression" dxfId="134" priority="92">
      <formula>LEN(N25)=0</formula>
    </cfRule>
  </conditionalFormatting>
  <conditionalFormatting sqref="N18:U19">
    <cfRule type="expression" dxfId="133" priority="58">
      <formula>LEN(N18)=0</formula>
    </cfRule>
  </conditionalFormatting>
  <conditionalFormatting sqref="N35:V35">
    <cfRule type="expression" dxfId="132" priority="108">
      <formula>LEN(N35)=0</formula>
    </cfRule>
  </conditionalFormatting>
  <conditionalFormatting sqref="N17:W17 Y17:Y19">
    <cfRule type="expression" dxfId="131" priority="136">
      <formula>LEN(N17)=0</formula>
    </cfRule>
  </conditionalFormatting>
  <conditionalFormatting sqref="N15:Y15">
    <cfRule type="expression" dxfId="130" priority="78">
      <formula>LEN(N15)=0</formula>
    </cfRule>
  </conditionalFormatting>
  <conditionalFormatting sqref="N6:Z8">
    <cfRule type="expression" dxfId="129" priority="81">
      <formula>LEN(N6)=0</formula>
    </cfRule>
  </conditionalFormatting>
  <conditionalFormatting sqref="N20:Z21">
    <cfRule type="expression" dxfId="128" priority="77">
      <formula>LEN(N20)=0</formula>
    </cfRule>
  </conditionalFormatting>
  <conditionalFormatting sqref="N24:Z24">
    <cfRule type="expression" dxfId="127" priority="126">
      <formula>LEN(N24)=0</formula>
    </cfRule>
  </conditionalFormatting>
  <conditionalFormatting sqref="N30:Z34">
    <cfRule type="expression" dxfId="126" priority="83">
      <formula>LEN(N30)=0</formula>
    </cfRule>
  </conditionalFormatting>
  <conditionalFormatting sqref="P41:P50">
    <cfRule type="expression" dxfId="125" priority="73">
      <formula>LEN(P41)=0</formula>
    </cfRule>
  </conditionalFormatting>
  <conditionalFormatting sqref="P39:Q40">
    <cfRule type="expression" dxfId="124" priority="99">
      <formula>LEN(P39)=0</formula>
    </cfRule>
  </conditionalFormatting>
  <conditionalFormatting sqref="Q45:R46 Q47:AH47 AA48:AH48 AA49 AR49 BA49:BC49 V49:W50 Y50:AA50 AZ50:BC50">
    <cfRule type="expression" dxfId="123" priority="72">
      <formula>LEN(Q45)=0</formula>
    </cfRule>
  </conditionalFormatting>
  <conditionalFormatting sqref="Q48:R50">
    <cfRule type="expression" dxfId="122" priority="17">
      <formula>LEN(Q48)=0</formula>
    </cfRule>
  </conditionalFormatting>
  <conditionalFormatting sqref="R10:W12">
    <cfRule type="expression" dxfId="121" priority="9">
      <formula>LEN(R10)=0</formula>
    </cfRule>
  </conditionalFormatting>
  <conditionalFormatting sqref="R25:Z27">
    <cfRule type="expression" dxfId="120" priority="82">
      <formula>LEN(R25)=0</formula>
    </cfRule>
  </conditionalFormatting>
  <conditionalFormatting sqref="S39:T39">
    <cfRule type="expression" dxfId="119" priority="85">
      <formula>LEN(S39)=0</formula>
    </cfRule>
  </conditionalFormatting>
  <conditionalFormatting sqref="T42">
    <cfRule type="expression" dxfId="118" priority="76">
      <formula>LEN(T42)=0</formula>
    </cfRule>
  </conditionalFormatting>
  <conditionalFormatting sqref="T48:Y48">
    <cfRule type="expression" dxfId="117" priority="35">
      <formula>LEN(T48)=0</formula>
    </cfRule>
  </conditionalFormatting>
  <conditionalFormatting sqref="T45:AH46">
    <cfRule type="expression" dxfId="116" priority="62">
      <formula>LEN(T45)=0</formula>
    </cfRule>
  </conditionalFormatting>
  <conditionalFormatting sqref="W35:W40">
    <cfRule type="expression" dxfId="115" priority="87">
      <formula>LEN(W35)=0</formula>
    </cfRule>
  </conditionalFormatting>
  <conditionalFormatting sqref="X35:X36">
    <cfRule type="expression" dxfId="114" priority="107">
      <formula>LEN(X35)=0</formula>
    </cfRule>
  </conditionalFormatting>
  <conditionalFormatting sqref="X12:Y12">
    <cfRule type="expression" dxfId="113" priority="161">
      <formula>LEN(X12)=0</formula>
    </cfRule>
  </conditionalFormatting>
  <conditionalFormatting sqref="X10:Z11">
    <cfRule type="expression" dxfId="112" priority="162">
      <formula>LEN(X10)=0</formula>
    </cfRule>
  </conditionalFormatting>
  <conditionalFormatting sqref="Y4:Y5">
    <cfRule type="expression" dxfId="111" priority="1">
      <formula>LEN(Y4)=0</formula>
    </cfRule>
  </conditionalFormatting>
  <conditionalFormatting sqref="Z12:Z15">
    <cfRule type="expression" dxfId="110" priority="140">
      <formula>LEN(Z12)=0</formula>
    </cfRule>
  </conditionalFormatting>
  <conditionalFormatting sqref="Z18">
    <cfRule type="expression" dxfId="109" priority="132">
      <formula>LEN(Z18)=0</formula>
    </cfRule>
  </conditionalFormatting>
  <conditionalFormatting sqref="Z28:Z29 N29:X29">
    <cfRule type="expression" dxfId="108" priority="125">
      <formula>LEN(N28)=0</formula>
    </cfRule>
  </conditionalFormatting>
  <conditionalFormatting sqref="Z36:Z38">
    <cfRule type="expression" dxfId="107" priority="5">
      <formula>LEN(Z36)=0</formula>
    </cfRule>
  </conditionalFormatting>
  <conditionalFormatting sqref="Z40">
    <cfRule type="expression" dxfId="106" priority="4">
      <formula>LEN(Z40)=0</formula>
    </cfRule>
  </conditionalFormatting>
  <conditionalFormatting sqref="Z43">
    <cfRule type="expression" dxfId="105" priority="74">
      <formula>LEN(Z43)=0</formula>
    </cfRule>
  </conditionalFormatting>
  <conditionalFormatting sqref="Z48:Z49">
    <cfRule type="expression" dxfId="104" priority="3">
      <formula>LEN(Z48)=0</formula>
    </cfRule>
  </conditionalFormatting>
  <conditionalFormatting sqref="Z41:AC41">
    <cfRule type="expression" dxfId="103" priority="86">
      <formula>LEN(Z41)=0</formula>
    </cfRule>
  </conditionalFormatting>
  <conditionalFormatting sqref="AB10:AC12">
    <cfRule type="expression" dxfId="102" priority="152">
      <formula>LEN(AB10)=0</formula>
    </cfRule>
  </conditionalFormatting>
  <conditionalFormatting sqref="AB9:AM9 AN9:AO11">
    <cfRule type="expression" dxfId="101" priority="53">
      <formula>LEN(AB9)=0</formula>
    </cfRule>
  </conditionalFormatting>
  <conditionalFormatting sqref="AB24:AO25">
    <cfRule type="expression" dxfId="100" priority="128">
      <formula>LEN(AB24)=0</formula>
    </cfRule>
  </conditionalFormatting>
  <conditionalFormatting sqref="AB28:AP31">
    <cfRule type="expression" dxfId="99" priority="118">
      <formula>LEN(AB28)=0</formula>
    </cfRule>
  </conditionalFormatting>
  <conditionalFormatting sqref="AB14:AQ16">
    <cfRule type="expression" dxfId="98" priority="57">
      <formula>LEN(AB14)=0</formula>
    </cfRule>
  </conditionalFormatting>
  <conditionalFormatting sqref="AB32:AQ35">
    <cfRule type="expression" dxfId="97" priority="6">
      <formula>LEN(AB32)=0</formula>
    </cfRule>
  </conditionalFormatting>
  <conditionalFormatting sqref="AB7:AT8">
    <cfRule type="expression" dxfId="96" priority="165">
      <formula>LEN(AB7)=0</formula>
    </cfRule>
  </conditionalFormatting>
  <conditionalFormatting sqref="AB17:AY23">
    <cfRule type="expression" dxfId="95" priority="39">
      <formula>LEN(AB17)=0</formula>
    </cfRule>
  </conditionalFormatting>
  <conditionalFormatting sqref="AB6:BC6">
    <cfRule type="expression" dxfId="94" priority="164">
      <formula>LEN(AB6)=0</formula>
    </cfRule>
  </conditionalFormatting>
  <conditionalFormatting sqref="AE11">
    <cfRule type="expression" dxfId="93" priority="163">
      <formula>LEN(AE11)=0</formula>
    </cfRule>
  </conditionalFormatting>
  <conditionalFormatting sqref="AF11:AI12">
    <cfRule type="expression" dxfId="92" priority="148">
      <formula>LEN(AF11)=0</formula>
    </cfRule>
  </conditionalFormatting>
  <conditionalFormatting sqref="AI43:AO48">
    <cfRule type="expression" dxfId="91" priority="69">
      <formula>LEN(AI43)=0</formula>
    </cfRule>
  </conditionalFormatting>
  <conditionalFormatting sqref="AJ4:AJ5">
    <cfRule type="expression" dxfId="90" priority="2">
      <formula>LEN(AJ4)=0</formula>
    </cfRule>
  </conditionalFormatting>
  <conditionalFormatting sqref="AJ11">
    <cfRule type="expression" dxfId="89" priority="147">
      <formula>LEN(AJ11)=0</formula>
    </cfRule>
  </conditionalFormatting>
  <conditionalFormatting sqref="AJ49:AJ50">
    <cfRule type="expression" dxfId="88" priority="11">
      <formula>LEN(AJ49)=0</formula>
    </cfRule>
  </conditionalFormatting>
  <conditionalFormatting sqref="AJ12:AO12">
    <cfRule type="expression" dxfId="87" priority="146">
      <formula>LEN(AJ12)=0</formula>
    </cfRule>
  </conditionalFormatting>
  <conditionalFormatting sqref="AK10:AM11">
    <cfRule type="expression" dxfId="86" priority="51">
      <formula>LEN(AK10)=0</formula>
    </cfRule>
  </conditionalFormatting>
  <conditionalFormatting sqref="AP9:AP12">
    <cfRule type="expression" dxfId="85" priority="40">
      <formula>LEN(AP9)=0</formula>
    </cfRule>
  </conditionalFormatting>
  <conditionalFormatting sqref="AP45:AQ45">
    <cfRule type="expression" dxfId="84" priority="65">
      <formula>LEN(AP45)=0</formula>
    </cfRule>
  </conditionalFormatting>
  <conditionalFormatting sqref="AP46:AT48">
    <cfRule type="expression" dxfId="83" priority="34">
      <formula>LEN(AP46)=0</formula>
    </cfRule>
  </conditionalFormatting>
  <conditionalFormatting sqref="AQ31">
    <cfRule type="expression" dxfId="82" priority="54">
      <formula>LEN(AQ31)=0</formula>
    </cfRule>
  </conditionalFormatting>
  <conditionalFormatting sqref="AQ40">
    <cfRule type="expression" dxfId="81" priority="97">
      <formula>LEN(AQ40)=0</formula>
    </cfRule>
  </conditionalFormatting>
  <conditionalFormatting sqref="AQ28:AT30">
    <cfRule type="expression" dxfId="80" priority="55">
      <formula>LEN(AQ28)=0</formula>
    </cfRule>
  </conditionalFormatting>
  <conditionalFormatting sqref="AQ24:AY25">
    <cfRule type="expression" dxfId="79" priority="104">
      <formula>LEN(AQ24)=0</formula>
    </cfRule>
  </conditionalFormatting>
  <conditionalFormatting sqref="AQ10:BC12">
    <cfRule type="expression" dxfId="78" priority="141">
      <formula>LEN(AQ10)=0</formula>
    </cfRule>
  </conditionalFormatting>
  <conditionalFormatting sqref="AR34:AT35 Y35:Z35 Y36:Y42">
    <cfRule type="expression" dxfId="77" priority="111">
      <formula>LEN(Y34)=0</formula>
    </cfRule>
  </conditionalFormatting>
  <conditionalFormatting sqref="AR44:AT45">
    <cfRule type="expression" dxfId="76" priority="28">
      <formula>LEN(AR44)=0</formula>
    </cfRule>
  </conditionalFormatting>
  <conditionalFormatting sqref="AR14:BC15">
    <cfRule type="expression" dxfId="75" priority="138">
      <formula>LEN(AR14)=0</formula>
    </cfRule>
  </conditionalFormatting>
  <conditionalFormatting sqref="AU27:AV30">
    <cfRule type="expression" dxfId="74" priority="103">
      <formula>LEN(AU27)=0</formula>
    </cfRule>
  </conditionalFormatting>
  <conditionalFormatting sqref="AU44:AV50">
    <cfRule type="expression" dxfId="73" priority="10">
      <formula>LEN(AU44)=0</formula>
    </cfRule>
  </conditionalFormatting>
  <conditionalFormatting sqref="AU7:BC9 R9:Z9 AQ9:AT9 AD10:AJ10 AD11:AD12 AG12 R13:X13 AB13:BC13 R14:Y14 N16:Z16 AR16:AY16 AZ16:BC27 R22:Z22 N22:Q23 R23:W23 Y23:Z23 AB26:AY26 AB27:AT27 AW27:AY27 R28:X28 AR31:BC33 AB36:AT36 AB37:AR37 AS37:AT38 I38:K38 M38:R38 T38:V38 X38 AA38:AC38 AP38:AR38 AD38:AO42 AP39:AP42 O39:O50 T41:W41 AQ41:BC41 R41:R42 AR42:BC42 AP43:BC43 H45:J45 L45:N45 A45:F48 H46 L46:M46 N46:N49 A49:A50">
    <cfRule type="expression" dxfId="72" priority="173">
      <formula>LEN(A7)=0</formula>
    </cfRule>
  </conditionalFormatting>
  <conditionalFormatting sqref="AU34:BC38">
    <cfRule type="expression" dxfId="71" priority="36">
      <formula>LEN(AU34)=0</formula>
    </cfRule>
  </conditionalFormatting>
  <conditionalFormatting sqref="AW49">
    <cfRule type="expression" dxfId="70" priority="13">
      <formula>LEN(AW49)=0</formula>
    </cfRule>
  </conditionalFormatting>
  <conditionalFormatting sqref="AW28:BC30">
    <cfRule type="expression" dxfId="69" priority="120">
      <formula>LEN(AW28)=0</formula>
    </cfRule>
  </conditionalFormatting>
  <conditionalFormatting sqref="AW44:BC48">
    <cfRule type="expression" dxfId="68" priority="27">
      <formula>LEN(AW44)=0</formula>
    </cfRule>
  </conditionalFormatting>
  <conditionalFormatting sqref="BB39:BB40">
    <cfRule type="expression" dxfId="67" priority="95">
      <formula>LEN(BB39)=0</formula>
    </cfRule>
  </conditionalFormatting>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CB98B-C80E-4266-8AC5-4DADB4BF4B3C}">
  <dimension ref="A1:BE29"/>
  <sheetViews>
    <sheetView topLeftCell="AA1" zoomScale="70" zoomScaleNormal="70" workbookViewId="0">
      <selection activeCell="AD16" sqref="AD16"/>
    </sheetView>
  </sheetViews>
  <sheetFormatPr baseColWidth="10" defaultRowHeight="15" x14ac:dyDescent="0.25"/>
  <cols>
    <col min="3" max="3" width="30.7109375" customWidth="1"/>
    <col min="4" max="4" width="13.42578125" bestFit="1" customWidth="1"/>
    <col min="5" max="5" width="60.7109375" bestFit="1" customWidth="1"/>
    <col min="6" max="6" width="31.140625" customWidth="1"/>
    <col min="7" max="7" width="11.28515625" style="85" customWidth="1"/>
    <col min="8" max="8" width="24.28515625" customWidth="1"/>
    <col min="9" max="9" width="30.42578125" customWidth="1"/>
    <col min="10" max="10" width="15" bestFit="1" customWidth="1"/>
    <col min="11" max="11" width="65.42578125" customWidth="1"/>
    <col min="12" max="12" width="21.7109375" bestFit="1" customWidth="1"/>
    <col min="13" max="13" width="53.85546875" customWidth="1"/>
    <col min="14" max="14" width="42.140625" customWidth="1"/>
    <col min="29" max="42" width="15.85546875" customWidth="1"/>
    <col min="43" max="43" width="76.5703125" customWidth="1"/>
    <col min="44" max="44" width="45.28515625" customWidth="1"/>
    <col min="45" max="45" width="45.42578125" customWidth="1"/>
    <col min="46" max="57" width="15.85546875" customWidth="1"/>
  </cols>
  <sheetData>
    <row r="1" spans="1:57" ht="60" x14ac:dyDescent="0.25">
      <c r="A1" s="18" t="s">
        <v>7</v>
      </c>
      <c r="B1" s="18" t="s">
        <v>8</v>
      </c>
      <c r="C1" s="18" t="s">
        <v>9</v>
      </c>
      <c r="D1" s="19" t="s">
        <v>12</v>
      </c>
      <c r="E1" s="18" t="s">
        <v>14</v>
      </c>
      <c r="F1" s="18" t="s">
        <v>571</v>
      </c>
      <c r="G1" s="20" t="s">
        <v>669</v>
      </c>
      <c r="H1" s="18" t="s">
        <v>19</v>
      </c>
      <c r="I1" s="18" t="s">
        <v>23</v>
      </c>
      <c r="J1" s="20" t="s">
        <v>667</v>
      </c>
      <c r="K1" s="18" t="s">
        <v>664</v>
      </c>
      <c r="L1" s="96" t="s">
        <v>670</v>
      </c>
      <c r="M1" s="18" t="s">
        <v>28</v>
      </c>
      <c r="N1" s="18" t="s">
        <v>29</v>
      </c>
      <c r="O1" s="18" t="s">
        <v>30</v>
      </c>
      <c r="P1" s="18" t="s">
        <v>31</v>
      </c>
      <c r="Q1" s="22" t="s">
        <v>32</v>
      </c>
      <c r="R1" s="22" t="s">
        <v>33</v>
      </c>
      <c r="S1" s="22" t="s">
        <v>34</v>
      </c>
      <c r="T1" s="22" t="s">
        <v>35</v>
      </c>
      <c r="U1" s="22" t="s">
        <v>36</v>
      </c>
      <c r="V1" s="22" t="s">
        <v>37</v>
      </c>
      <c r="W1" s="23" t="s">
        <v>38</v>
      </c>
      <c r="X1" s="18" t="s">
        <v>552</v>
      </c>
      <c r="Y1" s="22" t="s">
        <v>39</v>
      </c>
      <c r="Z1" s="76" t="s">
        <v>633</v>
      </c>
      <c r="AA1" s="76" t="s">
        <v>634</v>
      </c>
      <c r="AB1" s="76" t="s">
        <v>635</v>
      </c>
      <c r="AC1" s="78" t="s">
        <v>40</v>
      </c>
      <c r="AD1" s="22" t="s">
        <v>41</v>
      </c>
      <c r="AE1" s="22" t="s">
        <v>42</v>
      </c>
      <c r="AF1" s="22" t="s">
        <v>43</v>
      </c>
      <c r="AG1" s="22" t="s">
        <v>39</v>
      </c>
      <c r="AH1" s="22" t="s">
        <v>44</v>
      </c>
      <c r="AI1" s="22" t="s">
        <v>45</v>
      </c>
      <c r="AJ1" s="22" t="s">
        <v>46</v>
      </c>
      <c r="AK1" s="22" t="s">
        <v>558</v>
      </c>
      <c r="AL1" s="22" t="s">
        <v>559</v>
      </c>
      <c r="AM1" s="18" t="s">
        <v>47</v>
      </c>
      <c r="AN1" s="18" t="s">
        <v>48</v>
      </c>
      <c r="AO1" s="18" t="s">
        <v>49</v>
      </c>
      <c r="AP1" s="18" t="s">
        <v>50</v>
      </c>
      <c r="AQ1" s="21" t="s">
        <v>51</v>
      </c>
      <c r="AR1" s="78" t="s">
        <v>40</v>
      </c>
      <c r="AS1" s="22" t="s">
        <v>41</v>
      </c>
      <c r="AT1" s="22" t="s">
        <v>42</v>
      </c>
      <c r="AU1" s="22" t="s">
        <v>43</v>
      </c>
      <c r="AV1" s="22" t="s">
        <v>39</v>
      </c>
      <c r="AW1" s="22" t="s">
        <v>44</v>
      </c>
      <c r="AX1" s="22" t="s">
        <v>45</v>
      </c>
      <c r="AY1" s="22" t="s">
        <v>46</v>
      </c>
      <c r="AZ1" s="22" t="s">
        <v>558</v>
      </c>
      <c r="BA1" s="22" t="s">
        <v>559</v>
      </c>
      <c r="BB1" s="18" t="s">
        <v>47</v>
      </c>
      <c r="BC1" s="18" t="s">
        <v>48</v>
      </c>
      <c r="BD1" s="18" t="s">
        <v>49</v>
      </c>
      <c r="BE1" s="18" t="s">
        <v>50</v>
      </c>
    </row>
    <row r="2" spans="1:57" s="88" customFormat="1" ht="60" x14ac:dyDescent="0.25">
      <c r="A2" s="110">
        <v>1</v>
      </c>
      <c r="B2" s="110" t="s">
        <v>54</v>
      </c>
      <c r="C2" s="116" t="s">
        <v>55</v>
      </c>
      <c r="D2" s="118" t="s">
        <v>57</v>
      </c>
      <c r="E2" s="114" t="s">
        <v>647</v>
      </c>
      <c r="F2" s="120" t="s">
        <v>60</v>
      </c>
      <c r="G2" s="122" t="s">
        <v>61</v>
      </c>
      <c r="H2" s="33" t="s">
        <v>665</v>
      </c>
      <c r="I2" s="16" t="s">
        <v>66</v>
      </c>
      <c r="J2" s="112" t="s">
        <v>54</v>
      </c>
      <c r="K2" s="114" t="s">
        <v>77</v>
      </c>
      <c r="L2" s="28">
        <f>ROUND(AT2,3)</f>
        <v>1.4999999999999999E-2</v>
      </c>
      <c r="M2" s="114" t="s">
        <v>668</v>
      </c>
      <c r="N2" s="16" t="s">
        <v>69</v>
      </c>
      <c r="O2" s="33" t="s">
        <v>70</v>
      </c>
      <c r="P2" s="33" t="s">
        <v>71</v>
      </c>
      <c r="Q2" s="33" t="s">
        <v>72</v>
      </c>
      <c r="R2" s="33" t="s">
        <v>71</v>
      </c>
      <c r="S2" s="33" t="s">
        <v>71</v>
      </c>
      <c r="T2" s="33" t="s">
        <v>73</v>
      </c>
      <c r="U2" s="33" t="s">
        <v>71</v>
      </c>
      <c r="V2" s="33" t="s">
        <v>71</v>
      </c>
      <c r="W2" s="81" t="s">
        <v>74</v>
      </c>
      <c r="X2" s="33"/>
      <c r="Y2" s="33" t="s">
        <v>75</v>
      </c>
      <c r="Z2" s="33"/>
      <c r="AA2" s="33"/>
      <c r="AB2" s="33"/>
      <c r="AC2" s="75" t="s">
        <v>76</v>
      </c>
      <c r="AD2" s="16" t="s">
        <v>77</v>
      </c>
      <c r="AE2" s="16" t="s">
        <v>78</v>
      </c>
      <c r="AF2" s="16" t="s">
        <v>79</v>
      </c>
      <c r="AG2" s="33" t="s">
        <v>80</v>
      </c>
      <c r="AH2" s="33">
        <f>AE2-AF2*1.96</f>
        <v>-7.7119999999999994E-2</v>
      </c>
      <c r="AI2" s="33">
        <f>AE2+AF2*1.96</f>
        <v>0.10711999999999999</v>
      </c>
      <c r="AJ2" s="33">
        <v>250</v>
      </c>
      <c r="AK2" s="33"/>
      <c r="AL2" s="33"/>
      <c r="AM2" s="33" t="s">
        <v>74</v>
      </c>
      <c r="AN2" s="33">
        <v>1</v>
      </c>
      <c r="AO2" s="33" t="s">
        <v>81</v>
      </c>
      <c r="AP2" s="33" t="s">
        <v>82</v>
      </c>
      <c r="AQ2" s="16" t="s">
        <v>83</v>
      </c>
      <c r="AR2" s="75" t="s">
        <v>76</v>
      </c>
      <c r="AS2" s="16" t="s">
        <v>77</v>
      </c>
      <c r="AT2" s="16" t="s">
        <v>78</v>
      </c>
      <c r="AU2" s="16" t="s">
        <v>79</v>
      </c>
      <c r="AV2" s="33" t="s">
        <v>80</v>
      </c>
      <c r="AW2" s="33">
        <f>AT2-AU2*1.96</f>
        <v>-7.7119999999999994E-2</v>
      </c>
      <c r="AX2" s="33">
        <f>AT2+AU2*1.96</f>
        <v>0.10711999999999999</v>
      </c>
      <c r="AY2" s="33">
        <v>251</v>
      </c>
      <c r="AZ2" s="33"/>
      <c r="BA2" s="33"/>
      <c r="BB2" s="33" t="s">
        <v>74</v>
      </c>
      <c r="BC2" s="33">
        <v>2</v>
      </c>
      <c r="BD2" s="33" t="s">
        <v>81</v>
      </c>
      <c r="BE2" s="33" t="s">
        <v>648</v>
      </c>
    </row>
    <row r="3" spans="1:57" s="88" customFormat="1" ht="60" x14ac:dyDescent="0.25">
      <c r="A3" s="111"/>
      <c r="B3" s="111"/>
      <c r="C3" s="117"/>
      <c r="D3" s="119"/>
      <c r="E3" s="115"/>
      <c r="F3" s="121"/>
      <c r="G3" s="123"/>
      <c r="H3" s="33" t="s">
        <v>666</v>
      </c>
      <c r="I3" s="16" t="s">
        <v>71</v>
      </c>
      <c r="J3" s="113"/>
      <c r="K3" s="115"/>
      <c r="L3" s="28">
        <v>0.11</v>
      </c>
      <c r="M3" s="115"/>
      <c r="N3" s="16" t="s">
        <v>69</v>
      </c>
      <c r="O3" s="33">
        <v>0.34</v>
      </c>
      <c r="P3" s="33" t="s">
        <v>71</v>
      </c>
      <c r="Q3" s="33" t="s">
        <v>71</v>
      </c>
      <c r="R3" s="33" t="s">
        <v>71</v>
      </c>
      <c r="S3" s="33" t="s">
        <v>71</v>
      </c>
      <c r="T3" s="33" t="s">
        <v>71</v>
      </c>
      <c r="U3" s="33" t="s">
        <v>71</v>
      </c>
      <c r="V3" s="33" t="s">
        <v>71</v>
      </c>
      <c r="W3" s="81"/>
      <c r="X3" s="33"/>
      <c r="Y3" s="33"/>
      <c r="Z3" s="33"/>
      <c r="AA3" s="33"/>
      <c r="AB3" s="33"/>
      <c r="AC3" s="75" t="s">
        <v>88</v>
      </c>
      <c r="AD3" s="16" t="s">
        <v>77</v>
      </c>
      <c r="AE3" s="16">
        <v>0.11</v>
      </c>
      <c r="AF3" s="16">
        <v>0.05</v>
      </c>
      <c r="AG3" s="33">
        <v>0.1</v>
      </c>
      <c r="AH3" s="33">
        <f>AE3-AF3*1.96</f>
        <v>1.1999999999999997E-2</v>
      </c>
      <c r="AI3" s="33">
        <f>AE3+AF3*1.96</f>
        <v>0.20800000000000002</v>
      </c>
      <c r="AJ3" s="33">
        <v>250</v>
      </c>
      <c r="AK3" s="33"/>
      <c r="AL3" s="33"/>
      <c r="AM3" s="33" t="s">
        <v>74</v>
      </c>
      <c r="AN3" s="33">
        <v>1</v>
      </c>
      <c r="AO3" s="33" t="s">
        <v>81</v>
      </c>
      <c r="AP3" s="33" t="s">
        <v>89</v>
      </c>
      <c r="AQ3" s="38" t="s">
        <v>83</v>
      </c>
      <c r="AR3" s="75" t="s">
        <v>88</v>
      </c>
      <c r="AS3" s="16" t="s">
        <v>77</v>
      </c>
      <c r="AT3" s="16">
        <v>7.6666666666666702E-2</v>
      </c>
      <c r="AU3" s="16">
        <v>7.1666666666666698E-2</v>
      </c>
      <c r="AV3" s="33">
        <v>6.6666666666666693E-2</v>
      </c>
      <c r="AW3" s="33">
        <f>AT3-AU3*1.96</f>
        <v>-6.3800000000000009E-2</v>
      </c>
      <c r="AX3" s="33">
        <f>AT3+AU3*1.96</f>
        <v>0.2171333333333334</v>
      </c>
      <c r="AY3" s="33">
        <v>251</v>
      </c>
      <c r="AZ3" s="33"/>
      <c r="BA3" s="33"/>
      <c r="BB3" s="33" t="s">
        <v>74</v>
      </c>
      <c r="BC3" s="33">
        <v>2</v>
      </c>
      <c r="BD3" s="33" t="s">
        <v>81</v>
      </c>
      <c r="BE3" s="33" t="s">
        <v>649</v>
      </c>
    </row>
    <row r="4" spans="1:57" ht="75" x14ac:dyDescent="0.25">
      <c r="A4" s="25">
        <v>3</v>
      </c>
      <c r="B4" s="25" t="s">
        <v>54</v>
      </c>
      <c r="C4" s="26" t="s">
        <v>90</v>
      </c>
      <c r="D4" s="40" t="s">
        <v>92</v>
      </c>
      <c r="E4" s="16" t="s">
        <v>94</v>
      </c>
      <c r="F4" s="26" t="s">
        <v>95</v>
      </c>
      <c r="G4" s="39" t="s">
        <v>96</v>
      </c>
      <c r="H4" s="32" t="s">
        <v>98</v>
      </c>
      <c r="I4" s="16" t="s">
        <v>99</v>
      </c>
      <c r="J4" s="32" t="s">
        <v>54</v>
      </c>
      <c r="K4" s="42" t="s">
        <v>100</v>
      </c>
      <c r="L4" s="28">
        <v>-6.1400000000000003E-2</v>
      </c>
      <c r="M4" s="42" t="s">
        <v>101</v>
      </c>
      <c r="N4" s="42" t="s">
        <v>102</v>
      </c>
      <c r="O4" s="32" t="s">
        <v>103</v>
      </c>
      <c r="P4" s="32" t="s">
        <v>104</v>
      </c>
      <c r="Q4" s="32" t="s">
        <v>105</v>
      </c>
      <c r="R4" s="32" t="s">
        <v>106</v>
      </c>
      <c r="S4" s="32">
        <v>89</v>
      </c>
      <c r="T4" s="32" t="s">
        <v>107</v>
      </c>
      <c r="U4" s="32" t="s">
        <v>108</v>
      </c>
      <c r="V4" s="32">
        <v>102</v>
      </c>
      <c r="W4" s="36" t="s">
        <v>109</v>
      </c>
      <c r="X4" s="32"/>
      <c r="Y4" s="32" t="s">
        <v>110</v>
      </c>
      <c r="Z4" s="32"/>
      <c r="AA4" s="32"/>
      <c r="AB4" s="32"/>
      <c r="AC4" s="75" t="s">
        <v>111</v>
      </c>
      <c r="AD4" s="16" t="s">
        <v>112</v>
      </c>
      <c r="AE4" s="28">
        <v>-6.1400000000000003E-2</v>
      </c>
      <c r="AF4" s="28">
        <v>2.7400000000000001E-2</v>
      </c>
      <c r="AG4" s="32"/>
      <c r="AH4" s="32">
        <f>AE4-AF4*1.96</f>
        <v>-0.11510400000000001</v>
      </c>
      <c r="AI4" s="32">
        <f>AE4+AF4*1.96</f>
        <v>-7.6960000000000015E-3</v>
      </c>
      <c r="AJ4" s="32">
        <v>191</v>
      </c>
      <c r="AK4" s="32"/>
      <c r="AL4" s="32"/>
      <c r="AM4" s="32" t="s">
        <v>54</v>
      </c>
      <c r="AN4" s="32">
        <v>1</v>
      </c>
      <c r="AO4" s="32" t="s">
        <v>81</v>
      </c>
      <c r="AP4" s="32" t="s">
        <v>113</v>
      </c>
      <c r="AQ4" s="38" t="s">
        <v>114</v>
      </c>
      <c r="AR4" s="75" t="s">
        <v>111</v>
      </c>
      <c r="AS4" s="16" t="s">
        <v>112</v>
      </c>
      <c r="AT4" s="28">
        <v>0.1162</v>
      </c>
      <c r="AU4" s="28">
        <v>0.20499999999999999</v>
      </c>
      <c r="AV4" s="32"/>
      <c r="AW4" s="32">
        <f>AT4-AU4*1.96</f>
        <v>-0.28559999999999997</v>
      </c>
      <c r="AX4" s="32">
        <f>AT4+AU4*1.96</f>
        <v>0.51800000000000002</v>
      </c>
      <c r="AY4" s="32">
        <v>192</v>
      </c>
      <c r="AZ4" s="32"/>
      <c r="BA4" s="32"/>
      <c r="BB4" s="32" t="s">
        <v>650</v>
      </c>
      <c r="BC4" s="32">
        <v>2</v>
      </c>
      <c r="BD4" s="32" t="s">
        <v>81</v>
      </c>
      <c r="BE4" s="32" t="s">
        <v>113</v>
      </c>
    </row>
    <row r="5" spans="1:57" ht="60" x14ac:dyDescent="0.25">
      <c r="A5" s="25">
        <v>7</v>
      </c>
      <c r="B5" s="25" t="s">
        <v>54</v>
      </c>
      <c r="C5" s="26" t="s">
        <v>115</v>
      </c>
      <c r="D5" s="27" t="s">
        <v>117</v>
      </c>
      <c r="E5" s="16" t="s">
        <v>94</v>
      </c>
      <c r="F5" s="26" t="s">
        <v>119</v>
      </c>
      <c r="G5" s="28" t="s">
        <v>120</v>
      </c>
      <c r="H5" s="32" t="s">
        <v>63</v>
      </c>
      <c r="I5" s="16" t="s">
        <v>123</v>
      </c>
      <c r="J5" s="32" t="s">
        <v>54</v>
      </c>
      <c r="K5" s="42" t="s">
        <v>125</v>
      </c>
      <c r="L5" s="28">
        <v>0.70399999999999996</v>
      </c>
      <c r="M5" s="43" t="s">
        <v>127</v>
      </c>
      <c r="N5" s="42"/>
      <c r="O5" s="32" t="s">
        <v>128</v>
      </c>
      <c r="P5" s="32" t="s">
        <v>129</v>
      </c>
      <c r="Q5" s="32" t="s">
        <v>130</v>
      </c>
      <c r="R5" s="32" t="s">
        <v>131</v>
      </c>
      <c r="S5" s="32" t="s">
        <v>132</v>
      </c>
      <c r="T5" s="32" t="s">
        <v>133</v>
      </c>
      <c r="U5" s="32" t="s">
        <v>134</v>
      </c>
      <c r="V5" s="32" t="s">
        <v>135</v>
      </c>
      <c r="W5" s="36" t="s">
        <v>136</v>
      </c>
      <c r="X5" s="31">
        <f>T5-Q5</f>
        <v>0.94899999999999984</v>
      </c>
      <c r="Y5" s="31" t="s">
        <v>137</v>
      </c>
      <c r="Z5" s="31">
        <f>(T5-Q5)-(1.97*ABS(U5-R5))</f>
        <v>0.29101999999999972</v>
      </c>
      <c r="AA5" s="31">
        <f>(T5-Q5)+(1.97*(U5-R5))</f>
        <v>1.6069800000000001</v>
      </c>
      <c r="AB5" s="31">
        <f>(X5-Z5)/2</f>
        <v>0.32899000000000006</v>
      </c>
      <c r="AC5" s="79" t="s">
        <v>554</v>
      </c>
      <c r="AD5" s="44" t="s">
        <v>139</v>
      </c>
      <c r="AE5" s="28">
        <v>0.70399999999999996</v>
      </c>
      <c r="AF5" s="28"/>
      <c r="AG5" s="32">
        <v>6.0999999999999999E-2</v>
      </c>
      <c r="AH5" s="32"/>
      <c r="AI5" s="32"/>
      <c r="AJ5" s="32">
        <v>164</v>
      </c>
      <c r="AK5" s="32"/>
      <c r="AL5" s="32"/>
      <c r="AM5" s="32" t="s">
        <v>54</v>
      </c>
      <c r="AN5" s="32">
        <v>1</v>
      </c>
      <c r="AO5" s="45" t="s">
        <v>140</v>
      </c>
      <c r="AP5" s="32" t="s">
        <v>141</v>
      </c>
      <c r="AQ5" s="38" t="s">
        <v>142</v>
      </c>
      <c r="AR5" s="79" t="s">
        <v>554</v>
      </c>
      <c r="AS5" s="44" t="s">
        <v>139</v>
      </c>
      <c r="AT5" s="28">
        <v>181.036763157895</v>
      </c>
      <c r="AU5" s="28">
        <v>215.43178947368401</v>
      </c>
      <c r="AV5" s="32">
        <v>249.82681578947401</v>
      </c>
      <c r="AW5" s="32">
        <v>284.22184210526302</v>
      </c>
      <c r="AX5" s="32">
        <v>318.61686842105303</v>
      </c>
      <c r="AY5" s="32">
        <v>353.01189473684201</v>
      </c>
      <c r="AZ5" s="32"/>
      <c r="BA5" s="32"/>
      <c r="BB5" s="32" t="s">
        <v>650</v>
      </c>
      <c r="BC5" s="32">
        <v>2</v>
      </c>
      <c r="BD5" s="45" t="s">
        <v>140</v>
      </c>
      <c r="BE5" s="32" t="s">
        <v>141</v>
      </c>
    </row>
    <row r="6" spans="1:57" ht="60" x14ac:dyDescent="0.25">
      <c r="A6" s="25">
        <v>7</v>
      </c>
      <c r="B6" s="25" t="s">
        <v>87</v>
      </c>
      <c r="C6" s="26" t="s">
        <v>115</v>
      </c>
      <c r="D6" s="27" t="s">
        <v>117</v>
      </c>
      <c r="E6" s="16" t="s">
        <v>94</v>
      </c>
      <c r="F6" s="26" t="s">
        <v>119</v>
      </c>
      <c r="G6" s="28" t="s">
        <v>120</v>
      </c>
      <c r="H6" s="32" t="s">
        <v>63</v>
      </c>
      <c r="I6" s="16" t="s">
        <v>123</v>
      </c>
      <c r="J6" s="32" t="s">
        <v>54</v>
      </c>
      <c r="K6" s="42" t="s">
        <v>125</v>
      </c>
      <c r="L6" s="28">
        <v>0.182</v>
      </c>
      <c r="M6" s="46" t="s">
        <v>143</v>
      </c>
      <c r="N6" s="42"/>
      <c r="O6" s="32" t="s">
        <v>128</v>
      </c>
      <c r="P6" s="32" t="s">
        <v>129</v>
      </c>
      <c r="Q6" s="32">
        <v>5.851</v>
      </c>
      <c r="R6" s="32">
        <v>2.1880000000000002</v>
      </c>
      <c r="S6" s="32">
        <v>74</v>
      </c>
      <c r="T6" s="32">
        <v>6.4950000000000001</v>
      </c>
      <c r="U6" s="32">
        <v>2.2290000000000001</v>
      </c>
      <c r="V6" s="32">
        <v>93</v>
      </c>
      <c r="W6" s="36" t="s">
        <v>136</v>
      </c>
      <c r="X6" s="31"/>
      <c r="Y6" s="31"/>
      <c r="Z6" s="31"/>
      <c r="AA6" s="31"/>
      <c r="AB6" s="31"/>
      <c r="AC6" s="79" t="s">
        <v>554</v>
      </c>
      <c r="AD6" s="16" t="s">
        <v>144</v>
      </c>
      <c r="AE6" s="28">
        <v>0.182</v>
      </c>
      <c r="AF6" s="28"/>
      <c r="AG6" s="32">
        <v>0.6</v>
      </c>
      <c r="AH6" s="32"/>
      <c r="AI6" s="32"/>
      <c r="AJ6" s="32">
        <v>164</v>
      </c>
      <c r="AK6" s="32"/>
      <c r="AL6" s="32"/>
      <c r="AM6" s="32" t="s">
        <v>54</v>
      </c>
      <c r="AN6" s="32">
        <v>1</v>
      </c>
      <c r="AO6" s="45" t="s">
        <v>140</v>
      </c>
      <c r="AP6" s="32" t="s">
        <v>141</v>
      </c>
      <c r="AQ6" s="38" t="s">
        <v>145</v>
      </c>
      <c r="AR6" s="79" t="s">
        <v>554</v>
      </c>
      <c r="AS6" s="16" t="s">
        <v>144</v>
      </c>
      <c r="AT6" s="28">
        <v>181.34299999999999</v>
      </c>
      <c r="AU6" s="28">
        <v>215.82</v>
      </c>
      <c r="AV6" s="32">
        <v>250.297</v>
      </c>
      <c r="AW6" s="32">
        <v>284.774</v>
      </c>
      <c r="AX6" s="32">
        <v>319.25099999999998</v>
      </c>
      <c r="AY6" s="32">
        <v>353.72800000000001</v>
      </c>
      <c r="AZ6" s="32"/>
      <c r="BA6" s="32"/>
      <c r="BB6" s="32" t="s">
        <v>650</v>
      </c>
      <c r="BC6" s="32">
        <v>2</v>
      </c>
      <c r="BD6" s="45" t="s">
        <v>140</v>
      </c>
      <c r="BE6" s="32" t="s">
        <v>141</v>
      </c>
    </row>
    <row r="7" spans="1:57" ht="60" x14ac:dyDescent="0.25">
      <c r="A7" s="25">
        <v>7</v>
      </c>
      <c r="B7" s="25" t="s">
        <v>54</v>
      </c>
      <c r="C7" s="26" t="s">
        <v>115</v>
      </c>
      <c r="D7" s="27" t="s">
        <v>117</v>
      </c>
      <c r="E7" s="16" t="s">
        <v>94</v>
      </c>
      <c r="F7" s="26" t="s">
        <v>119</v>
      </c>
      <c r="G7" s="28" t="s">
        <v>120</v>
      </c>
      <c r="H7" s="32" t="s">
        <v>63</v>
      </c>
      <c r="I7" s="16" t="s">
        <v>71</v>
      </c>
      <c r="J7" s="32" t="s">
        <v>54</v>
      </c>
      <c r="K7" s="42" t="s">
        <v>125</v>
      </c>
      <c r="L7" s="28">
        <v>0.42</v>
      </c>
      <c r="M7" s="47" t="s">
        <v>127</v>
      </c>
      <c r="N7" s="42"/>
      <c r="O7" s="32" t="s">
        <v>128</v>
      </c>
      <c r="P7" s="32" t="s">
        <v>129</v>
      </c>
      <c r="Q7" s="32">
        <v>0.52730999999999995</v>
      </c>
      <c r="R7" s="32">
        <v>0.20527000000000001</v>
      </c>
      <c r="S7" s="32">
        <v>70</v>
      </c>
      <c r="T7" s="32">
        <v>0.58992</v>
      </c>
      <c r="U7" s="32">
        <v>0.22128</v>
      </c>
      <c r="V7" s="32">
        <v>97</v>
      </c>
      <c r="W7" s="36" t="s">
        <v>136</v>
      </c>
      <c r="X7" s="31">
        <f>T7-Q7</f>
        <v>6.2610000000000054E-2</v>
      </c>
      <c r="Y7" s="31">
        <v>2.8000000000000001E-2</v>
      </c>
      <c r="Z7" s="31">
        <f>(T7-Q7)-(1.97*(U7-R7))</f>
        <v>3.1070300000000065E-2</v>
      </c>
      <c r="AA7" s="31">
        <f>(T7-Q7)+(1.97*(U7-R7))</f>
        <v>9.4149700000000044E-2</v>
      </c>
      <c r="AB7" s="31">
        <f>(X7-Z7)/2</f>
        <v>1.5769849999999995E-2</v>
      </c>
      <c r="AC7" s="79" t="s">
        <v>555</v>
      </c>
      <c r="AD7" s="44" t="s">
        <v>139</v>
      </c>
      <c r="AE7" s="28">
        <v>0.42</v>
      </c>
      <c r="AF7" s="28"/>
      <c r="AG7" s="32">
        <v>0.622</v>
      </c>
      <c r="AH7" s="32"/>
      <c r="AI7" s="32"/>
      <c r="AJ7" s="32">
        <v>167</v>
      </c>
      <c r="AK7" s="32"/>
      <c r="AL7" s="32"/>
      <c r="AM7" s="32" t="s">
        <v>54</v>
      </c>
      <c r="AN7" s="32">
        <v>1</v>
      </c>
      <c r="AO7" s="45" t="s">
        <v>140</v>
      </c>
      <c r="AP7" s="32" t="s">
        <v>147</v>
      </c>
      <c r="AQ7" s="38" t="s">
        <v>148</v>
      </c>
      <c r="AR7" s="79" t="s">
        <v>555</v>
      </c>
      <c r="AS7" s="44" t="s">
        <v>139</v>
      </c>
      <c r="AT7" s="28">
        <v>184.58257894736801</v>
      </c>
      <c r="AU7" s="28">
        <v>219.64673684210501</v>
      </c>
      <c r="AV7" s="32">
        <v>254.71089473684199</v>
      </c>
      <c r="AW7" s="32">
        <v>289.775052631579</v>
      </c>
      <c r="AX7" s="32">
        <v>324.83921052631501</v>
      </c>
      <c r="AY7" s="32">
        <v>359.90336842105199</v>
      </c>
      <c r="AZ7" s="32"/>
      <c r="BA7" s="32"/>
      <c r="BB7" s="32" t="s">
        <v>650</v>
      </c>
      <c r="BC7" s="32">
        <v>2</v>
      </c>
      <c r="BD7" s="45" t="s">
        <v>140</v>
      </c>
      <c r="BE7" s="32" t="s">
        <v>147</v>
      </c>
    </row>
    <row r="8" spans="1:57" ht="60" x14ac:dyDescent="0.25">
      <c r="A8" s="25">
        <v>7</v>
      </c>
      <c r="B8" s="25" t="s">
        <v>87</v>
      </c>
      <c r="C8" s="26" t="s">
        <v>115</v>
      </c>
      <c r="D8" s="27" t="s">
        <v>117</v>
      </c>
      <c r="E8" s="16" t="s">
        <v>94</v>
      </c>
      <c r="F8" s="26" t="s">
        <v>119</v>
      </c>
      <c r="G8" s="28" t="s">
        <v>120</v>
      </c>
      <c r="H8" s="32" t="s">
        <v>63</v>
      </c>
      <c r="I8" s="16" t="s">
        <v>71</v>
      </c>
      <c r="J8" s="32" t="s">
        <v>54</v>
      </c>
      <c r="K8" s="42" t="s">
        <v>125</v>
      </c>
      <c r="L8" s="28">
        <v>1.7310000000000001</v>
      </c>
      <c r="M8" s="46" t="s">
        <v>143</v>
      </c>
      <c r="N8" s="42"/>
      <c r="O8" s="32" t="s">
        <v>128</v>
      </c>
      <c r="P8" s="32" t="s">
        <v>129</v>
      </c>
      <c r="Q8" s="32">
        <v>9.1760000000000002</v>
      </c>
      <c r="R8" s="32">
        <v>5.569</v>
      </c>
      <c r="S8" s="32">
        <v>68</v>
      </c>
      <c r="T8" s="32">
        <v>11.778</v>
      </c>
      <c r="U8" s="32">
        <v>6.5780000000000003</v>
      </c>
      <c r="V8" s="32">
        <v>99</v>
      </c>
      <c r="W8" s="36" t="s">
        <v>136</v>
      </c>
      <c r="X8" s="32"/>
      <c r="Y8" s="32">
        <v>8.0000000000000002E-3</v>
      </c>
      <c r="Z8" s="32"/>
      <c r="AA8" s="32"/>
      <c r="AB8" s="32"/>
      <c r="AC8" s="79" t="s">
        <v>555</v>
      </c>
      <c r="AD8" s="16" t="s">
        <v>144</v>
      </c>
      <c r="AE8" s="28">
        <v>1.7310000000000001</v>
      </c>
      <c r="AF8" s="28"/>
      <c r="AG8" s="32">
        <v>5.1999999999999998E-2</v>
      </c>
      <c r="AH8" s="32"/>
      <c r="AI8" s="32"/>
      <c r="AJ8" s="32">
        <v>167</v>
      </c>
      <c r="AK8" s="32"/>
      <c r="AL8" s="32"/>
      <c r="AM8" s="32" t="s">
        <v>54</v>
      </c>
      <c r="AN8" s="32">
        <v>1</v>
      </c>
      <c r="AO8" s="45" t="s">
        <v>140</v>
      </c>
      <c r="AP8" s="32" t="s">
        <v>147</v>
      </c>
      <c r="AQ8" s="38" t="s">
        <v>149</v>
      </c>
      <c r="AR8" s="79" t="s">
        <v>555</v>
      </c>
      <c r="AS8" s="16" t="s">
        <v>144</v>
      </c>
      <c r="AT8" s="28">
        <v>183.99907894736799</v>
      </c>
      <c r="AU8" s="28">
        <v>218.83673684210501</v>
      </c>
      <c r="AV8" s="32">
        <v>253.674394736842</v>
      </c>
      <c r="AW8" s="32">
        <v>288.51205263157902</v>
      </c>
      <c r="AX8" s="32">
        <v>323.34971052631499</v>
      </c>
      <c r="AY8" s="32">
        <v>358.18736842105199</v>
      </c>
      <c r="AZ8" s="32"/>
      <c r="BA8" s="32"/>
      <c r="BB8" s="32" t="s">
        <v>650</v>
      </c>
      <c r="BC8" s="32">
        <v>2</v>
      </c>
      <c r="BD8" s="45" t="s">
        <v>140</v>
      </c>
      <c r="BE8" s="32" t="s">
        <v>147</v>
      </c>
    </row>
    <row r="9" spans="1:57" ht="45" x14ac:dyDescent="0.25">
      <c r="A9" s="25">
        <v>8</v>
      </c>
      <c r="B9" s="25" t="s">
        <v>87</v>
      </c>
      <c r="C9" s="26" t="s">
        <v>151</v>
      </c>
      <c r="D9" s="27" t="s">
        <v>153</v>
      </c>
      <c r="E9" s="16" t="s">
        <v>155</v>
      </c>
      <c r="F9" s="26" t="s">
        <v>156</v>
      </c>
      <c r="G9" s="28" t="s">
        <v>157</v>
      </c>
      <c r="H9" s="28" t="s">
        <v>98</v>
      </c>
      <c r="I9" s="16" t="s">
        <v>159</v>
      </c>
      <c r="J9" s="32" t="s">
        <v>54</v>
      </c>
      <c r="K9" s="48" t="s">
        <v>160</v>
      </c>
      <c r="L9" s="51" t="s">
        <v>164</v>
      </c>
      <c r="M9" s="48" t="s">
        <v>161</v>
      </c>
      <c r="N9" s="49"/>
      <c r="O9" s="32" t="s">
        <v>73</v>
      </c>
      <c r="P9" s="32" t="s">
        <v>162</v>
      </c>
      <c r="Q9" s="32"/>
      <c r="R9" s="32"/>
      <c r="S9" s="32"/>
      <c r="T9" s="32"/>
      <c r="U9" s="32"/>
      <c r="V9" s="32"/>
      <c r="W9" s="36"/>
      <c r="X9" s="32"/>
      <c r="Y9" s="32"/>
      <c r="Z9" s="32"/>
      <c r="AA9" s="32"/>
      <c r="AB9" s="32"/>
      <c r="AC9" s="79" t="s">
        <v>138</v>
      </c>
      <c r="AD9" s="16" t="s">
        <v>163</v>
      </c>
      <c r="AE9" s="51" t="s">
        <v>164</v>
      </c>
      <c r="AF9" s="28"/>
      <c r="AG9" s="32" t="s">
        <v>165</v>
      </c>
      <c r="AH9" s="32"/>
      <c r="AI9" s="32"/>
      <c r="AJ9" s="32">
        <v>384</v>
      </c>
      <c r="AK9" s="32"/>
      <c r="AL9" s="32"/>
      <c r="AM9" s="32" t="s">
        <v>54</v>
      </c>
      <c r="AN9" s="32">
        <v>1</v>
      </c>
      <c r="AO9" s="32" t="s">
        <v>81</v>
      </c>
      <c r="AP9" s="32" t="s">
        <v>82</v>
      </c>
      <c r="AQ9" s="38" t="s">
        <v>166</v>
      </c>
      <c r="AR9" s="79" t="s">
        <v>138</v>
      </c>
      <c r="AS9" s="16" t="s">
        <v>163</v>
      </c>
      <c r="AT9" s="51" t="s">
        <v>651</v>
      </c>
      <c r="AU9" s="28"/>
      <c r="AV9" s="32" t="s">
        <v>652</v>
      </c>
      <c r="AW9" s="32"/>
      <c r="AX9" s="32"/>
      <c r="AY9" s="32">
        <v>385</v>
      </c>
      <c r="AZ9" s="32"/>
      <c r="BA9" s="32"/>
      <c r="BB9" s="32" t="s">
        <v>650</v>
      </c>
      <c r="BC9" s="32">
        <v>2</v>
      </c>
      <c r="BD9" s="32" t="s">
        <v>81</v>
      </c>
      <c r="BE9" s="32" t="s">
        <v>648</v>
      </c>
    </row>
    <row r="10" spans="1:57" ht="45" x14ac:dyDescent="0.25">
      <c r="A10" s="25">
        <v>8</v>
      </c>
      <c r="B10" s="25" t="s">
        <v>87</v>
      </c>
      <c r="C10" s="26" t="s">
        <v>151</v>
      </c>
      <c r="D10" s="27" t="s">
        <v>153</v>
      </c>
      <c r="E10" s="16" t="s">
        <v>155</v>
      </c>
      <c r="F10" s="26" t="s">
        <v>156</v>
      </c>
      <c r="G10" s="28" t="s">
        <v>157</v>
      </c>
      <c r="H10" s="28" t="s">
        <v>63</v>
      </c>
      <c r="I10" s="16" t="s">
        <v>168</v>
      </c>
      <c r="J10" s="32" t="s">
        <v>54</v>
      </c>
      <c r="K10" s="48" t="s">
        <v>160</v>
      </c>
      <c r="L10" s="51" t="s">
        <v>173</v>
      </c>
      <c r="M10" s="48" t="s">
        <v>161</v>
      </c>
      <c r="N10" s="48" t="s">
        <v>170</v>
      </c>
      <c r="O10" s="32" t="s">
        <v>171</v>
      </c>
      <c r="P10" s="32" t="s">
        <v>172</v>
      </c>
      <c r="Q10" s="32"/>
      <c r="R10" s="32"/>
      <c r="S10" s="32"/>
      <c r="T10" s="32"/>
      <c r="U10" s="32"/>
      <c r="V10" s="32"/>
      <c r="W10" s="36"/>
      <c r="X10" s="32"/>
      <c r="Y10" s="32"/>
      <c r="Z10" s="32"/>
      <c r="AA10" s="32"/>
      <c r="AB10" s="32"/>
      <c r="AC10" s="79" t="s">
        <v>138</v>
      </c>
      <c r="AD10" s="16" t="s">
        <v>163</v>
      </c>
      <c r="AE10" s="51" t="s">
        <v>173</v>
      </c>
      <c r="AF10" s="28"/>
      <c r="AG10" s="32" t="s">
        <v>174</v>
      </c>
      <c r="AH10" s="32"/>
      <c r="AI10" s="32"/>
      <c r="AJ10" s="32">
        <v>384</v>
      </c>
      <c r="AK10" s="32"/>
      <c r="AL10" s="32"/>
      <c r="AM10" s="32" t="s">
        <v>54</v>
      </c>
      <c r="AN10" s="32">
        <v>1</v>
      </c>
      <c r="AO10" s="32" t="s">
        <v>81</v>
      </c>
      <c r="AP10" s="32" t="s">
        <v>82</v>
      </c>
      <c r="AQ10" s="38" t="s">
        <v>166</v>
      </c>
      <c r="AR10" s="79" t="s">
        <v>138</v>
      </c>
      <c r="AS10" s="16" t="s">
        <v>163</v>
      </c>
      <c r="AT10" s="51" t="s">
        <v>653</v>
      </c>
      <c r="AU10" s="28"/>
      <c r="AV10" s="32" t="s">
        <v>654</v>
      </c>
      <c r="AW10" s="32"/>
      <c r="AX10" s="32"/>
      <c r="AY10" s="32">
        <v>385</v>
      </c>
      <c r="AZ10" s="32"/>
      <c r="BA10" s="32"/>
      <c r="BB10" s="32" t="s">
        <v>650</v>
      </c>
      <c r="BC10" s="32">
        <v>2</v>
      </c>
      <c r="BD10" s="32" t="s">
        <v>81</v>
      </c>
      <c r="BE10" s="32" t="s">
        <v>648</v>
      </c>
    </row>
    <row r="11" spans="1:57" ht="45" x14ac:dyDescent="0.25">
      <c r="A11" s="25">
        <v>8</v>
      </c>
      <c r="B11" s="25" t="s">
        <v>87</v>
      </c>
      <c r="C11" s="26" t="s">
        <v>151</v>
      </c>
      <c r="D11" s="27" t="s">
        <v>153</v>
      </c>
      <c r="E11" s="16" t="s">
        <v>155</v>
      </c>
      <c r="F11" s="26" t="s">
        <v>156</v>
      </c>
      <c r="G11" s="28" t="s">
        <v>157</v>
      </c>
      <c r="H11" s="28" t="s">
        <v>63</v>
      </c>
      <c r="I11" s="16" t="s">
        <v>71</v>
      </c>
      <c r="J11" s="32" t="s">
        <v>54</v>
      </c>
      <c r="K11" s="48" t="s">
        <v>160</v>
      </c>
      <c r="L11" s="51" t="s">
        <v>176</v>
      </c>
      <c r="M11" s="48" t="s">
        <v>161</v>
      </c>
      <c r="N11" s="48" t="s">
        <v>170</v>
      </c>
      <c r="O11" s="32">
        <v>0.41</v>
      </c>
      <c r="P11" s="32">
        <v>0.28999999999999998</v>
      </c>
      <c r="Q11" s="32"/>
      <c r="R11" s="32"/>
      <c r="S11" s="32"/>
      <c r="T11" s="32"/>
      <c r="U11" s="32"/>
      <c r="V11" s="32"/>
      <c r="W11" s="36"/>
      <c r="X11" s="32"/>
      <c r="Y11" s="32"/>
      <c r="Z11" s="32"/>
      <c r="AA11" s="32"/>
      <c r="AB11" s="32"/>
      <c r="AC11" s="79" t="s">
        <v>175</v>
      </c>
      <c r="AD11" s="16" t="s">
        <v>163</v>
      </c>
      <c r="AE11" s="51" t="s">
        <v>176</v>
      </c>
      <c r="AF11" s="28"/>
      <c r="AG11" s="32" t="s">
        <v>177</v>
      </c>
      <c r="AH11" s="32"/>
      <c r="AI11" s="32"/>
      <c r="AJ11" s="32">
        <v>367</v>
      </c>
      <c r="AK11" s="32"/>
      <c r="AL11" s="32"/>
      <c r="AM11" s="32" t="s">
        <v>54</v>
      </c>
      <c r="AN11" s="32">
        <v>1</v>
      </c>
      <c r="AO11" s="32" t="s">
        <v>81</v>
      </c>
      <c r="AP11" s="32" t="s">
        <v>82</v>
      </c>
      <c r="AQ11" s="38" t="s">
        <v>166</v>
      </c>
      <c r="AR11" s="79" t="s">
        <v>175</v>
      </c>
      <c r="AS11" s="16" t="s">
        <v>163</v>
      </c>
      <c r="AT11" s="51" t="s">
        <v>655</v>
      </c>
      <c r="AU11" s="28"/>
      <c r="AV11" s="32" t="s">
        <v>656</v>
      </c>
      <c r="AW11" s="32"/>
      <c r="AX11" s="32"/>
      <c r="AY11" s="32">
        <v>368</v>
      </c>
      <c r="AZ11" s="32"/>
      <c r="BA11" s="32"/>
      <c r="BB11" s="32" t="s">
        <v>650</v>
      </c>
      <c r="BC11" s="32">
        <v>2</v>
      </c>
      <c r="BD11" s="32" t="s">
        <v>81</v>
      </c>
      <c r="BE11" s="32" t="s">
        <v>648</v>
      </c>
    </row>
    <row r="12" spans="1:57" ht="158.44999999999999" customHeight="1" x14ac:dyDescent="0.25">
      <c r="A12" s="32">
        <v>9</v>
      </c>
      <c r="B12" s="32">
        <v>1</v>
      </c>
      <c r="C12" s="26" t="s">
        <v>178</v>
      </c>
      <c r="D12" s="27" t="s">
        <v>181</v>
      </c>
      <c r="E12" s="26" t="s">
        <v>183</v>
      </c>
      <c r="F12" s="26" t="s">
        <v>184</v>
      </c>
      <c r="G12" s="28" t="s">
        <v>185</v>
      </c>
      <c r="H12" s="28" t="s">
        <v>98</v>
      </c>
      <c r="I12" s="16" t="s">
        <v>187</v>
      </c>
      <c r="J12" s="32" t="s">
        <v>87</v>
      </c>
      <c r="K12" s="84" t="s">
        <v>189</v>
      </c>
      <c r="L12" s="28">
        <v>1.2999999999999999E-2</v>
      </c>
      <c r="M12" s="52" t="s">
        <v>190</v>
      </c>
      <c r="N12" s="16"/>
      <c r="O12" s="32"/>
      <c r="P12" s="32"/>
      <c r="Q12" s="32"/>
      <c r="R12" s="32"/>
      <c r="S12" s="32"/>
      <c r="T12" s="32"/>
      <c r="U12" s="32"/>
      <c r="V12" s="32"/>
      <c r="W12" s="36"/>
      <c r="X12" s="32"/>
      <c r="Y12" s="32"/>
      <c r="Z12" s="32"/>
      <c r="AA12" s="32"/>
      <c r="AB12" s="32"/>
      <c r="AC12" s="75" t="s">
        <v>191</v>
      </c>
      <c r="AD12" s="16" t="s">
        <v>547</v>
      </c>
      <c r="AE12" s="28">
        <v>1.2999999999999999E-2</v>
      </c>
      <c r="AF12" s="28">
        <v>3.5999999999999997E-2</v>
      </c>
      <c r="AG12" s="32"/>
      <c r="AH12" s="32">
        <f>AE12-AF12*1.96</f>
        <v>-5.756E-2</v>
      </c>
      <c r="AI12" s="32">
        <f>AE12+AF12*1.96</f>
        <v>8.3559999999999995E-2</v>
      </c>
      <c r="AJ12" s="32">
        <v>512</v>
      </c>
      <c r="AK12" s="32"/>
      <c r="AL12" s="32"/>
      <c r="AM12" s="32" t="s">
        <v>54</v>
      </c>
      <c r="AN12" s="32">
        <v>1</v>
      </c>
      <c r="AO12" s="32" t="s">
        <v>81</v>
      </c>
      <c r="AP12" s="32" t="s">
        <v>192</v>
      </c>
      <c r="AQ12" s="38" t="s">
        <v>193</v>
      </c>
      <c r="AR12" s="75" t="s">
        <v>191</v>
      </c>
      <c r="AS12" s="16" t="s">
        <v>547</v>
      </c>
      <c r="AT12" s="28">
        <v>5.8999999999999997E-2</v>
      </c>
      <c r="AU12" s="28">
        <v>8.2000000000000003E-2</v>
      </c>
      <c r="AV12" s="32"/>
      <c r="AW12" s="32">
        <f>AT12-AU12*1.96</f>
        <v>-0.10172</v>
      </c>
      <c r="AX12" s="32">
        <f>AT12+AU12*1.96</f>
        <v>0.21972</v>
      </c>
      <c r="AY12" s="32">
        <v>513</v>
      </c>
      <c r="AZ12" s="32"/>
      <c r="BA12" s="32"/>
      <c r="BB12" s="32" t="s">
        <v>650</v>
      </c>
      <c r="BC12" s="32">
        <v>2</v>
      </c>
      <c r="BD12" s="32" t="s">
        <v>81</v>
      </c>
      <c r="BE12" s="32" t="s">
        <v>192</v>
      </c>
    </row>
    <row r="13" spans="1:57" ht="158.44999999999999" customHeight="1" x14ac:dyDescent="0.25">
      <c r="A13" s="32">
        <v>9</v>
      </c>
      <c r="B13" s="32">
        <v>0</v>
      </c>
      <c r="C13" s="26" t="s">
        <v>178</v>
      </c>
      <c r="D13" s="27" t="s">
        <v>181</v>
      </c>
      <c r="E13" s="26" t="s">
        <v>183</v>
      </c>
      <c r="F13" s="26" t="s">
        <v>184</v>
      </c>
      <c r="G13" s="28" t="s">
        <v>185</v>
      </c>
      <c r="H13" s="28" t="s">
        <v>98</v>
      </c>
      <c r="I13" s="16" t="s">
        <v>187</v>
      </c>
      <c r="J13" s="32" t="s">
        <v>87</v>
      </c>
      <c r="K13" s="84" t="s">
        <v>189</v>
      </c>
      <c r="L13" s="28">
        <v>9.7000000000000003E-2</v>
      </c>
      <c r="M13" s="15" t="s">
        <v>194</v>
      </c>
      <c r="N13" s="16"/>
      <c r="O13" s="32"/>
      <c r="P13" s="32"/>
      <c r="Q13" s="32"/>
      <c r="R13" s="32"/>
      <c r="S13" s="32"/>
      <c r="T13" s="32"/>
      <c r="U13" s="32"/>
      <c r="V13" s="32"/>
      <c r="W13" s="36"/>
      <c r="X13" s="32"/>
      <c r="Y13" s="32"/>
      <c r="Z13" s="32"/>
      <c r="AA13" s="32"/>
      <c r="AB13" s="32"/>
      <c r="AC13" s="75" t="s">
        <v>191</v>
      </c>
      <c r="AD13" s="16" t="s">
        <v>195</v>
      </c>
      <c r="AE13" s="28">
        <v>9.7000000000000003E-2</v>
      </c>
      <c r="AF13" s="28">
        <v>4.2999999999999997E-2</v>
      </c>
      <c r="AG13" s="32"/>
      <c r="AH13" s="32">
        <f>AE13-AF13*1.96</f>
        <v>1.2720000000000009E-2</v>
      </c>
      <c r="AI13" s="32">
        <f>AE13+AF13*1.96</f>
        <v>0.18128</v>
      </c>
      <c r="AJ13" s="32">
        <v>512</v>
      </c>
      <c r="AK13" s="32"/>
      <c r="AL13" s="32"/>
      <c r="AM13" s="32" t="s">
        <v>54</v>
      </c>
      <c r="AN13" s="32">
        <v>1</v>
      </c>
      <c r="AO13" s="32" t="s">
        <v>81</v>
      </c>
      <c r="AP13" s="32" t="s">
        <v>196</v>
      </c>
      <c r="AQ13" s="38" t="s">
        <v>193</v>
      </c>
      <c r="AR13" s="75" t="s">
        <v>191</v>
      </c>
      <c r="AS13" s="16" t="s">
        <v>195</v>
      </c>
      <c r="AT13" s="28">
        <v>-1.0999999999999999E-2</v>
      </c>
      <c r="AU13" s="28">
        <v>-6.5000000000000002E-2</v>
      </c>
      <c r="AV13" s="32"/>
      <c r="AW13" s="32">
        <f>AT13-AU13*1.96</f>
        <v>0.11640000000000002</v>
      </c>
      <c r="AX13" s="32">
        <f>AT13+AU13*1.96</f>
        <v>-0.13840000000000002</v>
      </c>
      <c r="AY13" s="32">
        <v>513</v>
      </c>
      <c r="AZ13" s="32"/>
      <c r="BA13" s="32"/>
      <c r="BB13" s="32" t="s">
        <v>650</v>
      </c>
      <c r="BC13" s="32">
        <v>2</v>
      </c>
      <c r="BD13" s="32" t="s">
        <v>81</v>
      </c>
      <c r="BE13" s="32" t="s">
        <v>196</v>
      </c>
    </row>
    <row r="14" spans="1:57" ht="60" x14ac:dyDescent="0.25">
      <c r="A14" s="32">
        <v>11</v>
      </c>
      <c r="B14" s="32">
        <v>1</v>
      </c>
      <c r="C14" s="26" t="s">
        <v>208</v>
      </c>
      <c r="D14" s="27" t="s">
        <v>211</v>
      </c>
      <c r="E14" s="16" t="s">
        <v>213</v>
      </c>
      <c r="F14" s="26" t="s">
        <v>214</v>
      </c>
      <c r="G14" s="28" t="s">
        <v>215</v>
      </c>
      <c r="H14" s="28" t="s">
        <v>63</v>
      </c>
      <c r="I14" s="16" t="s">
        <v>217</v>
      </c>
      <c r="J14" s="32" t="s">
        <v>54</v>
      </c>
      <c r="K14" s="42" t="s">
        <v>219</v>
      </c>
      <c r="L14" s="28">
        <v>9.7000000000000003E-2</v>
      </c>
      <c r="M14" s="42" t="s">
        <v>220</v>
      </c>
      <c r="N14" s="42"/>
      <c r="O14" s="32"/>
      <c r="P14" s="32"/>
      <c r="Q14" s="32" t="s">
        <v>221</v>
      </c>
      <c r="R14" s="32" t="s">
        <v>222</v>
      </c>
      <c r="S14" s="32" t="s">
        <v>223</v>
      </c>
      <c r="T14" s="32" t="s">
        <v>224</v>
      </c>
      <c r="U14" s="32" t="s">
        <v>225</v>
      </c>
      <c r="V14" s="32" t="s">
        <v>226</v>
      </c>
      <c r="W14" s="36" t="s">
        <v>109</v>
      </c>
      <c r="X14" s="32"/>
      <c r="Y14" s="32" t="s">
        <v>227</v>
      </c>
      <c r="Z14" s="32"/>
      <c r="AA14" s="32"/>
      <c r="AB14" s="32"/>
      <c r="AC14" s="75" t="s">
        <v>64</v>
      </c>
      <c r="AD14" s="16" t="s">
        <v>228</v>
      </c>
      <c r="AE14" s="28">
        <v>9.7000000000000003E-2</v>
      </c>
      <c r="AF14" s="28">
        <v>0.34200000000000003</v>
      </c>
      <c r="AG14" s="32"/>
      <c r="AH14" s="32">
        <f>AE14-AF14*1.96</f>
        <v>-0.57332000000000005</v>
      </c>
      <c r="AI14" s="32">
        <f>AE14+AF14*1.96</f>
        <v>0.76732</v>
      </c>
      <c r="AJ14" s="32">
        <v>120</v>
      </c>
      <c r="AK14" s="32"/>
      <c r="AL14" s="32"/>
      <c r="AM14" s="32" t="s">
        <v>54</v>
      </c>
      <c r="AN14" s="32">
        <v>1</v>
      </c>
      <c r="AO14" s="32" t="s">
        <v>81</v>
      </c>
      <c r="AP14" s="32" t="s">
        <v>229</v>
      </c>
      <c r="AQ14" s="38" t="s">
        <v>230</v>
      </c>
      <c r="AR14" s="75" t="s">
        <v>64</v>
      </c>
      <c r="AS14" s="16" t="s">
        <v>228</v>
      </c>
      <c r="AT14" s="28">
        <v>0.58699999999999997</v>
      </c>
      <c r="AU14" s="28">
        <v>0.83199999999999996</v>
      </c>
      <c r="AV14" s="32"/>
      <c r="AW14" s="32">
        <f>AT14-AU14*1.96</f>
        <v>-1.04372</v>
      </c>
      <c r="AX14" s="32">
        <f>AT14+AU14*1.96</f>
        <v>2.2177199999999999</v>
      </c>
      <c r="AY14" s="32">
        <v>121</v>
      </c>
      <c r="AZ14" s="32"/>
      <c r="BA14" s="32"/>
      <c r="BB14" s="32" t="s">
        <v>650</v>
      </c>
      <c r="BC14" s="32">
        <v>2</v>
      </c>
      <c r="BD14" s="32" t="s">
        <v>81</v>
      </c>
      <c r="BE14" s="32" t="s">
        <v>657</v>
      </c>
    </row>
    <row r="15" spans="1:57" ht="60" x14ac:dyDescent="0.25">
      <c r="A15" s="32">
        <v>11</v>
      </c>
      <c r="B15" s="32">
        <v>1</v>
      </c>
      <c r="C15" s="26" t="s">
        <v>208</v>
      </c>
      <c r="D15" s="27" t="s">
        <v>211</v>
      </c>
      <c r="E15" s="16" t="s">
        <v>213</v>
      </c>
      <c r="F15" s="26" t="s">
        <v>214</v>
      </c>
      <c r="G15" s="28" t="s">
        <v>215</v>
      </c>
      <c r="H15" s="28" t="s">
        <v>63</v>
      </c>
      <c r="I15" s="16" t="s">
        <v>71</v>
      </c>
      <c r="J15" s="32" t="s">
        <v>54</v>
      </c>
      <c r="K15" s="42" t="s">
        <v>219</v>
      </c>
      <c r="L15" s="28">
        <v>-0.10299999999999999</v>
      </c>
      <c r="M15" s="42" t="s">
        <v>220</v>
      </c>
      <c r="N15" s="42"/>
      <c r="O15" s="32"/>
      <c r="P15" s="32"/>
      <c r="Q15" s="32">
        <v>0.38</v>
      </c>
      <c r="R15" s="32">
        <v>0.22</v>
      </c>
      <c r="S15" s="32"/>
      <c r="T15" s="32">
        <v>0.28000000000000003</v>
      </c>
      <c r="U15" s="32">
        <v>0.27</v>
      </c>
      <c r="V15" s="32"/>
      <c r="W15" s="36"/>
      <c r="X15" s="32"/>
      <c r="Y15" s="32"/>
      <c r="Z15" s="32"/>
      <c r="AA15" s="32"/>
      <c r="AB15" s="32"/>
      <c r="AC15" s="75" t="s">
        <v>231</v>
      </c>
      <c r="AD15" s="16" t="s">
        <v>228</v>
      </c>
      <c r="AE15" s="28">
        <v>-0.10299999999999999</v>
      </c>
      <c r="AF15" s="28">
        <v>3.6999999999999998E-2</v>
      </c>
      <c r="AG15" s="32"/>
      <c r="AH15" s="32">
        <f>AE15-AF15*1.96</f>
        <v>-0.17552000000000001</v>
      </c>
      <c r="AI15" s="32">
        <f>AE15+AF15*1.96</f>
        <v>-3.0479999999999993E-2</v>
      </c>
      <c r="AJ15" s="32">
        <v>104</v>
      </c>
      <c r="AK15" s="32"/>
      <c r="AL15" s="32"/>
      <c r="AM15" s="32" t="s">
        <v>54</v>
      </c>
      <c r="AN15" s="32">
        <v>1</v>
      </c>
      <c r="AO15" s="32" t="s">
        <v>81</v>
      </c>
      <c r="AP15" s="32" t="s">
        <v>229</v>
      </c>
      <c r="AQ15" s="38" t="s">
        <v>230</v>
      </c>
      <c r="AR15" s="75" t="s">
        <v>231</v>
      </c>
      <c r="AS15" s="16" t="s">
        <v>228</v>
      </c>
      <c r="AT15" s="28">
        <v>0.17699999999999999</v>
      </c>
      <c r="AU15" s="28">
        <v>0.317</v>
      </c>
      <c r="AV15" s="32"/>
      <c r="AW15" s="32">
        <f>AT15-AU15*1.96</f>
        <v>-0.44431999999999999</v>
      </c>
      <c r="AX15" s="32">
        <f>AT15+AU15*1.96</f>
        <v>0.79831999999999992</v>
      </c>
      <c r="AY15" s="32">
        <v>105</v>
      </c>
      <c r="AZ15" s="32"/>
      <c r="BA15" s="32"/>
      <c r="BB15" s="32" t="s">
        <v>650</v>
      </c>
      <c r="BC15" s="32">
        <v>2</v>
      </c>
      <c r="BD15" s="32" t="s">
        <v>81</v>
      </c>
      <c r="BE15" s="32" t="s">
        <v>657</v>
      </c>
    </row>
    <row r="16" spans="1:57" ht="60" x14ac:dyDescent="0.25">
      <c r="A16" s="25">
        <v>17</v>
      </c>
      <c r="B16" s="25" t="s">
        <v>87</v>
      </c>
      <c r="C16" s="26" t="s">
        <v>232</v>
      </c>
      <c r="D16" s="27" t="s">
        <v>234</v>
      </c>
      <c r="E16" s="26" t="s">
        <v>236</v>
      </c>
      <c r="F16" s="26" t="s">
        <v>237</v>
      </c>
      <c r="G16" s="28" t="s">
        <v>238</v>
      </c>
      <c r="H16" s="28" t="s">
        <v>98</v>
      </c>
      <c r="I16" s="16" t="s">
        <v>241</v>
      </c>
      <c r="J16" s="32" t="s">
        <v>87</v>
      </c>
      <c r="K16" s="46" t="s">
        <v>242</v>
      </c>
      <c r="L16" s="28"/>
      <c r="M16" s="46" t="s">
        <v>243</v>
      </c>
      <c r="N16" s="42" t="s">
        <v>244</v>
      </c>
      <c r="O16" s="32"/>
      <c r="P16" s="32"/>
      <c r="Q16" s="32"/>
      <c r="R16" s="32"/>
      <c r="S16" s="32"/>
      <c r="T16" s="32"/>
      <c r="U16" s="32"/>
      <c r="V16" s="32"/>
      <c r="W16" s="36"/>
      <c r="X16" s="32"/>
      <c r="Y16" s="32"/>
      <c r="Z16" s="32"/>
      <c r="AA16" s="32"/>
      <c r="AB16" s="32"/>
      <c r="AC16" s="75"/>
      <c r="AD16" s="16"/>
      <c r="AE16" s="28"/>
      <c r="AF16" s="28"/>
      <c r="AG16" s="32"/>
      <c r="AH16" s="32"/>
      <c r="AI16" s="32"/>
      <c r="AJ16" s="32"/>
      <c r="AK16" s="32"/>
      <c r="AL16" s="32"/>
      <c r="AM16" s="32" t="s">
        <v>54</v>
      </c>
      <c r="AN16" s="32">
        <v>1</v>
      </c>
      <c r="AO16" s="32"/>
      <c r="AP16" s="32"/>
      <c r="AQ16" s="49"/>
      <c r="AR16" s="75"/>
      <c r="AS16" s="16"/>
      <c r="AT16" s="28"/>
      <c r="AU16" s="28"/>
      <c r="AV16" s="32"/>
      <c r="AW16" s="32"/>
      <c r="AX16" s="32"/>
      <c r="AY16" s="32"/>
      <c r="AZ16" s="32"/>
      <c r="BA16" s="32"/>
      <c r="BB16" s="32" t="s">
        <v>650</v>
      </c>
      <c r="BC16" s="32">
        <v>2</v>
      </c>
      <c r="BD16" s="32"/>
      <c r="BE16" s="32"/>
    </row>
    <row r="17" spans="1:57" x14ac:dyDescent="0.25">
      <c r="A17" s="32">
        <v>20</v>
      </c>
      <c r="B17" s="32">
        <v>0</v>
      </c>
      <c r="C17" s="16" t="s">
        <v>247</v>
      </c>
      <c r="D17" s="30" t="s">
        <v>249</v>
      </c>
      <c r="E17" s="16" t="s">
        <v>251</v>
      </c>
      <c r="F17" s="16" t="s">
        <v>252</v>
      </c>
      <c r="G17" s="28">
        <v>19</v>
      </c>
      <c r="H17" s="32" t="s">
        <v>98</v>
      </c>
      <c r="I17" s="16" t="s">
        <v>254</v>
      </c>
      <c r="J17" s="32" t="s">
        <v>74</v>
      </c>
      <c r="K17" s="56" t="s">
        <v>256</v>
      </c>
      <c r="L17" s="28"/>
      <c r="M17" s="16" t="s">
        <v>258</v>
      </c>
      <c r="N17" s="16"/>
      <c r="O17" s="32"/>
      <c r="P17" s="32"/>
      <c r="Q17" s="32"/>
      <c r="R17" s="32"/>
      <c r="S17" s="32"/>
      <c r="T17" s="32"/>
      <c r="U17" s="32"/>
      <c r="V17" s="32"/>
      <c r="W17" s="36"/>
      <c r="X17" s="32"/>
      <c r="Y17" s="32"/>
      <c r="Z17" s="32"/>
      <c r="AA17" s="32"/>
      <c r="AB17" s="32"/>
      <c r="AC17" s="75"/>
      <c r="AD17" s="16"/>
      <c r="AE17" s="28"/>
      <c r="AF17" s="28"/>
      <c r="AG17" s="32"/>
      <c r="AH17" s="32"/>
      <c r="AI17" s="32"/>
      <c r="AJ17" s="32"/>
      <c r="AK17" s="32"/>
      <c r="AL17" s="32"/>
      <c r="AM17" s="32">
        <v>1</v>
      </c>
      <c r="AN17" s="32">
        <v>1</v>
      </c>
      <c r="AO17" s="32"/>
      <c r="AP17" s="32"/>
      <c r="AQ17" s="38"/>
      <c r="AR17" s="75"/>
      <c r="AS17" s="16"/>
      <c r="AT17" s="28"/>
      <c r="AU17" s="28"/>
      <c r="AV17" s="32"/>
      <c r="AW17" s="32"/>
      <c r="AX17" s="32"/>
      <c r="AY17" s="32"/>
      <c r="AZ17" s="32"/>
      <c r="BA17" s="32"/>
      <c r="BB17" s="32">
        <v>1</v>
      </c>
      <c r="BC17" s="32">
        <v>1</v>
      </c>
      <c r="BD17" s="32"/>
      <c r="BE17" s="32"/>
    </row>
    <row r="18" spans="1:57" ht="120" x14ac:dyDescent="0.25">
      <c r="A18" s="32">
        <v>25</v>
      </c>
      <c r="B18" s="32">
        <v>1</v>
      </c>
      <c r="C18" s="16" t="s">
        <v>260</v>
      </c>
      <c r="D18" s="30" t="s">
        <v>262</v>
      </c>
      <c r="E18" s="16" t="s">
        <v>264</v>
      </c>
      <c r="F18" s="26" t="s">
        <v>265</v>
      </c>
      <c r="G18" s="28" t="s">
        <v>185</v>
      </c>
      <c r="H18" s="28" t="s">
        <v>268</v>
      </c>
      <c r="I18" s="16" t="s">
        <v>270</v>
      </c>
      <c r="J18" s="32">
        <v>1</v>
      </c>
      <c r="K18" s="48" t="s">
        <v>271</v>
      </c>
      <c r="L18" s="28">
        <v>14.555999999999999</v>
      </c>
      <c r="M18" s="48" t="s">
        <v>273</v>
      </c>
      <c r="N18" s="34"/>
      <c r="O18" s="32"/>
      <c r="P18" s="32"/>
      <c r="Q18" s="32"/>
      <c r="R18" s="32"/>
      <c r="S18" s="32"/>
      <c r="T18" s="32"/>
      <c r="U18" s="32"/>
      <c r="V18" s="32"/>
      <c r="W18" s="36"/>
      <c r="X18" s="32"/>
      <c r="Y18" s="32"/>
      <c r="Z18" s="32"/>
      <c r="AA18" s="32"/>
      <c r="AB18" s="32"/>
      <c r="AC18" s="79" t="s">
        <v>274</v>
      </c>
      <c r="AD18" s="44" t="s">
        <v>275</v>
      </c>
      <c r="AE18" s="28">
        <v>14.555999999999999</v>
      </c>
      <c r="AF18" s="28">
        <v>4.5090000000000003</v>
      </c>
      <c r="AG18" s="32"/>
      <c r="AH18" s="32">
        <f>AE18-AF18*1.96</f>
        <v>5.7183599999999988</v>
      </c>
      <c r="AI18" s="32">
        <f>AE18+AF18*1.96</f>
        <v>23.393639999999998</v>
      </c>
      <c r="AJ18" s="32">
        <v>1146</v>
      </c>
      <c r="AK18" s="32"/>
      <c r="AL18" s="32"/>
      <c r="AM18" s="32">
        <v>1</v>
      </c>
      <c r="AN18" s="32">
        <v>1</v>
      </c>
      <c r="AO18" s="32" t="s">
        <v>81</v>
      </c>
      <c r="AP18" s="32" t="s">
        <v>276</v>
      </c>
      <c r="AQ18" s="38" t="s">
        <v>277</v>
      </c>
      <c r="AR18" s="79" t="s">
        <v>274</v>
      </c>
      <c r="AS18" s="44" t="s">
        <v>275</v>
      </c>
      <c r="AT18" s="28">
        <v>-5.5380000000000003</v>
      </c>
      <c r="AU18" s="28">
        <v>-15.585000000000001</v>
      </c>
      <c r="AV18" s="32"/>
      <c r="AW18" s="32">
        <f>AT18-AU18*1.96</f>
        <v>25.008600000000001</v>
      </c>
      <c r="AX18" s="32">
        <f>AT18+AU18*1.96</f>
        <v>-36.084600000000002</v>
      </c>
      <c r="AY18" s="32">
        <v>-439.38461538461098</v>
      </c>
      <c r="AZ18" s="32">
        <v>-747.65384615384096</v>
      </c>
      <c r="BA18" s="32">
        <v>-1055.9230769230801</v>
      </c>
      <c r="BB18" s="32">
        <v>-1364.1923076923099</v>
      </c>
      <c r="BC18" s="32">
        <v>-1672.4615384615399</v>
      </c>
      <c r="BD18" s="32" t="s">
        <v>81</v>
      </c>
      <c r="BE18" s="32" t="s">
        <v>276</v>
      </c>
    </row>
    <row r="19" spans="1:57" ht="135" x14ac:dyDescent="0.25">
      <c r="A19" s="32">
        <v>25</v>
      </c>
      <c r="B19" s="32">
        <v>0</v>
      </c>
      <c r="C19" s="16" t="s">
        <v>260</v>
      </c>
      <c r="D19" s="30" t="s">
        <v>262</v>
      </c>
      <c r="E19" s="16" t="s">
        <v>264</v>
      </c>
      <c r="F19" s="26" t="s">
        <v>265</v>
      </c>
      <c r="G19" s="28" t="s">
        <v>185</v>
      </c>
      <c r="H19" s="28" t="s">
        <v>268</v>
      </c>
      <c r="I19" s="16" t="s">
        <v>270</v>
      </c>
      <c r="J19" s="32">
        <v>1</v>
      </c>
      <c r="K19" s="48" t="s">
        <v>271</v>
      </c>
      <c r="L19" s="28" t="s">
        <v>281</v>
      </c>
      <c r="M19" s="48" t="s">
        <v>273</v>
      </c>
      <c r="N19" s="34"/>
      <c r="O19" s="32" t="s">
        <v>278</v>
      </c>
      <c r="P19" s="32" t="s">
        <v>279</v>
      </c>
      <c r="Q19" s="32"/>
      <c r="R19" s="32"/>
      <c r="S19" s="32"/>
      <c r="T19" s="32"/>
      <c r="U19" s="32"/>
      <c r="V19" s="32"/>
      <c r="W19" s="36"/>
      <c r="X19" s="32"/>
      <c r="Y19" s="32"/>
      <c r="Z19" s="32"/>
      <c r="AA19" s="32"/>
      <c r="AB19" s="32"/>
      <c r="AC19" s="75" t="s">
        <v>274</v>
      </c>
      <c r="AD19" s="16" t="s">
        <v>280</v>
      </c>
      <c r="AE19" s="28" t="s">
        <v>281</v>
      </c>
      <c r="AF19" s="28" t="s">
        <v>282</v>
      </c>
      <c r="AG19" s="32"/>
      <c r="AH19" s="32"/>
      <c r="AI19" s="32"/>
      <c r="AJ19" s="32">
        <v>1125</v>
      </c>
      <c r="AK19" s="32"/>
      <c r="AL19" s="32"/>
      <c r="AM19" s="32">
        <v>1</v>
      </c>
      <c r="AN19" s="32">
        <v>1</v>
      </c>
      <c r="AO19" s="32" t="s">
        <v>81</v>
      </c>
      <c r="AP19" s="32" t="s">
        <v>283</v>
      </c>
      <c r="AQ19" s="38" t="s">
        <v>284</v>
      </c>
      <c r="AR19" s="75" t="s">
        <v>274</v>
      </c>
      <c r="AS19" s="16" t="s">
        <v>280</v>
      </c>
      <c r="AT19" s="28" t="s">
        <v>658</v>
      </c>
      <c r="AU19" s="28" t="s">
        <v>659</v>
      </c>
      <c r="AV19" s="32"/>
      <c r="AW19" s="32"/>
      <c r="AX19" s="32"/>
      <c r="AY19" s="32">
        <v>-431.30769230768902</v>
      </c>
      <c r="AZ19" s="32">
        <v>-733.92307692307895</v>
      </c>
      <c r="BA19" s="32">
        <v>-1036.5384615384601</v>
      </c>
      <c r="BB19" s="32">
        <v>-1339.1538461538501</v>
      </c>
      <c r="BC19" s="32">
        <v>-1641.76923076923</v>
      </c>
      <c r="BD19" s="32" t="s">
        <v>81</v>
      </c>
      <c r="BE19" s="32" t="s">
        <v>283</v>
      </c>
    </row>
    <row r="20" spans="1:57" ht="75" x14ac:dyDescent="0.25">
      <c r="A20" s="25">
        <v>30</v>
      </c>
      <c r="B20" s="25" t="s">
        <v>87</v>
      </c>
      <c r="C20" s="26" t="s">
        <v>286</v>
      </c>
      <c r="D20" s="27" t="s">
        <v>92</v>
      </c>
      <c r="E20" s="16" t="s">
        <v>94</v>
      </c>
      <c r="F20" s="26" t="s">
        <v>288</v>
      </c>
      <c r="G20" s="28">
        <v>83</v>
      </c>
      <c r="H20" s="28" t="s">
        <v>63</v>
      </c>
      <c r="I20" s="16" t="s">
        <v>290</v>
      </c>
      <c r="J20" s="32" t="s">
        <v>54</v>
      </c>
      <c r="K20" s="48" t="s">
        <v>291</v>
      </c>
      <c r="L20" s="28"/>
      <c r="M20" s="34" t="s">
        <v>293</v>
      </c>
      <c r="N20" s="34" t="s">
        <v>294</v>
      </c>
      <c r="O20" s="32" t="s">
        <v>295</v>
      </c>
      <c r="P20" s="32" t="s">
        <v>296</v>
      </c>
      <c r="Q20" s="32" t="s">
        <v>297</v>
      </c>
      <c r="R20" s="32" t="s">
        <v>298</v>
      </c>
      <c r="S20" s="32">
        <v>97</v>
      </c>
      <c r="T20" s="32" t="s">
        <v>299</v>
      </c>
      <c r="U20" s="32" t="s">
        <v>300</v>
      </c>
      <c r="V20" s="32">
        <v>67</v>
      </c>
      <c r="W20" s="36"/>
      <c r="X20" s="32"/>
      <c r="Y20" s="32"/>
      <c r="Z20" s="32"/>
      <c r="AA20" s="32"/>
      <c r="AB20" s="32"/>
      <c r="AC20" s="75"/>
      <c r="AD20" s="16"/>
      <c r="AE20" s="28"/>
      <c r="AF20" s="28"/>
      <c r="AG20" s="32"/>
      <c r="AH20" s="32"/>
      <c r="AI20" s="32"/>
      <c r="AJ20" s="32"/>
      <c r="AK20" s="32"/>
      <c r="AL20" s="32"/>
      <c r="AM20" s="32" t="s">
        <v>54</v>
      </c>
      <c r="AN20" s="32">
        <v>1</v>
      </c>
      <c r="AO20" s="32"/>
      <c r="AP20" s="32"/>
      <c r="AQ20" s="38"/>
      <c r="AR20" s="75"/>
      <c r="AS20" s="16"/>
      <c r="AT20" s="28"/>
      <c r="AU20" s="28"/>
      <c r="AV20" s="32"/>
      <c r="AW20" s="32"/>
      <c r="AX20" s="32"/>
      <c r="AY20" s="32"/>
      <c r="AZ20" s="32"/>
      <c r="BA20" s="32"/>
      <c r="BB20" s="32" t="s">
        <v>650</v>
      </c>
      <c r="BC20" s="32">
        <v>2</v>
      </c>
      <c r="BD20" s="32"/>
      <c r="BE20" s="32"/>
    </row>
    <row r="21" spans="1:57" ht="45" x14ac:dyDescent="0.25">
      <c r="A21" s="32">
        <v>39</v>
      </c>
      <c r="B21" s="32">
        <v>1</v>
      </c>
      <c r="C21" s="16" t="s">
        <v>320</v>
      </c>
      <c r="D21" s="30" t="s">
        <v>249</v>
      </c>
      <c r="E21" s="16" t="s">
        <v>251</v>
      </c>
      <c r="F21" s="16" t="s">
        <v>322</v>
      </c>
      <c r="G21" s="32">
        <v>19</v>
      </c>
      <c r="H21" s="32" t="s">
        <v>98</v>
      </c>
      <c r="I21" s="16" t="s">
        <v>254</v>
      </c>
      <c r="J21" s="32">
        <v>1</v>
      </c>
      <c r="K21" s="38" t="s">
        <v>323</v>
      </c>
      <c r="L21" s="28">
        <v>-27.87</v>
      </c>
      <c r="M21" s="16"/>
      <c r="N21" s="16"/>
      <c r="O21" s="32"/>
      <c r="P21" s="32"/>
      <c r="Q21" s="32"/>
      <c r="R21" s="32"/>
      <c r="S21" s="32"/>
      <c r="T21" s="32"/>
      <c r="U21" s="32"/>
      <c r="V21" s="32"/>
      <c r="W21" s="36"/>
      <c r="X21" s="32"/>
      <c r="Y21" s="32"/>
      <c r="Z21" s="32"/>
      <c r="AA21" s="32"/>
      <c r="AB21" s="32"/>
      <c r="AC21" s="79" t="s">
        <v>324</v>
      </c>
      <c r="AD21" s="16" t="s">
        <v>548</v>
      </c>
      <c r="AE21" s="28">
        <v>-27.87</v>
      </c>
      <c r="AF21" s="28">
        <v>37.380000000000003</v>
      </c>
      <c r="AG21" s="32"/>
      <c r="AH21" s="32">
        <f t="shared" ref="AH21:AH23" si="0">AE21-AF21*1.96</f>
        <v>-101.13480000000001</v>
      </c>
      <c r="AI21" s="32">
        <f t="shared" ref="AI21:AI23" si="1">AE21+AF21*1.96</f>
        <v>45.394800000000004</v>
      </c>
      <c r="AJ21" s="32">
        <v>355</v>
      </c>
      <c r="AK21" s="32"/>
      <c r="AL21" s="32"/>
      <c r="AM21" s="32">
        <v>1</v>
      </c>
      <c r="AN21" s="32">
        <v>1</v>
      </c>
      <c r="AO21" s="32" t="s">
        <v>81</v>
      </c>
      <c r="AP21" s="32" t="s">
        <v>325</v>
      </c>
      <c r="AQ21" s="38" t="s">
        <v>326</v>
      </c>
      <c r="AR21" s="79" t="s">
        <v>324</v>
      </c>
      <c r="AS21" s="16" t="s">
        <v>548</v>
      </c>
      <c r="AT21" s="28">
        <v>102.63</v>
      </c>
      <c r="AU21" s="28">
        <v>167.88</v>
      </c>
      <c r="AV21" s="32"/>
      <c r="AW21" s="32">
        <f t="shared" ref="AW21:AW23" si="2">AT21-AU21*1.96</f>
        <v>-226.41480000000001</v>
      </c>
      <c r="AX21" s="32">
        <f t="shared" ref="AX21:AX23" si="3">AT21+AU21*1.96</f>
        <v>431.6748</v>
      </c>
      <c r="AY21" s="32">
        <v>-135.15384615384701</v>
      </c>
      <c r="AZ21" s="32">
        <v>-230.46153846153899</v>
      </c>
      <c r="BA21" s="32">
        <v>-325.769230769231</v>
      </c>
      <c r="BB21" s="32">
        <v>-421.076923076924</v>
      </c>
      <c r="BC21" s="32">
        <v>-516.38461538461502</v>
      </c>
      <c r="BD21" s="32" t="s">
        <v>81</v>
      </c>
      <c r="BE21" s="32" t="s">
        <v>325</v>
      </c>
    </row>
    <row r="22" spans="1:57" ht="45" x14ac:dyDescent="0.25">
      <c r="A22" s="32">
        <v>39</v>
      </c>
      <c r="B22" s="32">
        <v>1</v>
      </c>
      <c r="C22" s="16" t="s">
        <v>320</v>
      </c>
      <c r="D22" s="30" t="s">
        <v>249</v>
      </c>
      <c r="E22" s="16" t="s">
        <v>251</v>
      </c>
      <c r="F22" s="16" t="s">
        <v>327</v>
      </c>
      <c r="G22" s="32">
        <v>68</v>
      </c>
      <c r="H22" s="32" t="s">
        <v>98</v>
      </c>
      <c r="I22" s="16" t="s">
        <v>254</v>
      </c>
      <c r="J22" s="32">
        <v>1</v>
      </c>
      <c r="K22" s="38" t="s">
        <v>323</v>
      </c>
      <c r="L22" s="28">
        <v>-7.8410000000000002</v>
      </c>
      <c r="M22" s="16"/>
      <c r="N22" s="16"/>
      <c r="O22" s="32"/>
      <c r="P22" s="32"/>
      <c r="Q22" s="32"/>
      <c r="R22" s="32"/>
      <c r="S22" s="32"/>
      <c r="T22" s="32"/>
      <c r="U22" s="32"/>
      <c r="V22" s="32"/>
      <c r="W22" s="36"/>
      <c r="X22" s="32"/>
      <c r="Y22" s="32"/>
      <c r="Z22" s="32"/>
      <c r="AA22" s="32"/>
      <c r="AB22" s="32"/>
      <c r="AC22" s="79" t="s">
        <v>324</v>
      </c>
      <c r="AD22" s="16" t="s">
        <v>548</v>
      </c>
      <c r="AE22" s="28">
        <v>-7.8410000000000002</v>
      </c>
      <c r="AF22" s="28">
        <v>43.12</v>
      </c>
      <c r="AG22" s="32"/>
      <c r="AH22" s="32">
        <f t="shared" si="0"/>
        <v>-92.356199999999987</v>
      </c>
      <c r="AI22" s="32">
        <f t="shared" si="1"/>
        <v>76.674199999999999</v>
      </c>
      <c r="AJ22" s="32">
        <v>364</v>
      </c>
      <c r="AK22" s="32"/>
      <c r="AL22" s="32"/>
      <c r="AM22" s="32">
        <v>1</v>
      </c>
      <c r="AN22" s="32">
        <v>1</v>
      </c>
      <c r="AO22" s="32" t="s">
        <v>81</v>
      </c>
      <c r="AP22" s="32" t="s">
        <v>328</v>
      </c>
      <c r="AQ22" s="38" t="s">
        <v>326</v>
      </c>
      <c r="AR22" s="79" t="s">
        <v>324</v>
      </c>
      <c r="AS22" s="16" t="s">
        <v>548</v>
      </c>
      <c r="AT22" s="28">
        <v>94.081000000000003</v>
      </c>
      <c r="AU22" s="28">
        <v>145.042</v>
      </c>
      <c r="AV22" s="32"/>
      <c r="AW22" s="32">
        <f t="shared" si="2"/>
        <v>-190.20131999999995</v>
      </c>
      <c r="AX22" s="32">
        <f t="shared" si="3"/>
        <v>378.36331999999999</v>
      </c>
      <c r="AY22" s="32">
        <v>-138.61538461538399</v>
      </c>
      <c r="AZ22" s="32">
        <v>-236.34615384615299</v>
      </c>
      <c r="BA22" s="32">
        <v>-334.07692307692298</v>
      </c>
      <c r="BB22" s="32">
        <v>-431.80769230769198</v>
      </c>
      <c r="BC22" s="32">
        <v>-529.53846153846098</v>
      </c>
      <c r="BD22" s="32" t="s">
        <v>81</v>
      </c>
      <c r="BE22" s="32" t="s">
        <v>328</v>
      </c>
    </row>
    <row r="23" spans="1:57" ht="30" x14ac:dyDescent="0.25">
      <c r="A23" s="25">
        <v>44</v>
      </c>
      <c r="B23" s="25" t="s">
        <v>54</v>
      </c>
      <c r="C23" s="26" t="s">
        <v>329</v>
      </c>
      <c r="D23" s="30" t="s">
        <v>249</v>
      </c>
      <c r="E23" s="16" t="s">
        <v>332</v>
      </c>
      <c r="F23" s="16" t="s">
        <v>333</v>
      </c>
      <c r="G23" s="32">
        <v>18</v>
      </c>
      <c r="H23" s="32" t="s">
        <v>337</v>
      </c>
      <c r="I23" s="16" t="s">
        <v>338</v>
      </c>
      <c r="J23" s="32" t="s">
        <v>54</v>
      </c>
      <c r="K23" s="42" t="s">
        <v>340</v>
      </c>
      <c r="L23" s="28" t="s">
        <v>353</v>
      </c>
      <c r="M23" s="16" t="s">
        <v>341</v>
      </c>
      <c r="N23" s="16" t="s">
        <v>342</v>
      </c>
      <c r="O23" s="32" t="s">
        <v>343</v>
      </c>
      <c r="P23" s="32" t="s">
        <v>344</v>
      </c>
      <c r="Q23" s="32" t="s">
        <v>345</v>
      </c>
      <c r="R23" s="32" t="s">
        <v>346</v>
      </c>
      <c r="S23" s="32" t="s">
        <v>347</v>
      </c>
      <c r="T23" s="32" t="s">
        <v>348</v>
      </c>
      <c r="U23" s="32" t="s">
        <v>349</v>
      </c>
      <c r="V23" s="32" t="s">
        <v>350</v>
      </c>
      <c r="W23" s="36"/>
      <c r="X23" s="32"/>
      <c r="Y23" s="32"/>
      <c r="Z23" s="32"/>
      <c r="AA23" s="32"/>
      <c r="AB23" s="32"/>
      <c r="AC23" s="79" t="s">
        <v>351</v>
      </c>
      <c r="AD23" s="16" t="s">
        <v>352</v>
      </c>
      <c r="AE23" s="28" t="s">
        <v>353</v>
      </c>
      <c r="AF23" s="28" t="s">
        <v>354</v>
      </c>
      <c r="AG23" s="32"/>
      <c r="AH23" s="32">
        <f t="shared" si="0"/>
        <v>-24.121392</v>
      </c>
      <c r="AI23" s="32">
        <f t="shared" si="1"/>
        <v>14.177792000000002</v>
      </c>
      <c r="AJ23" s="32">
        <v>50</v>
      </c>
      <c r="AK23" s="32"/>
      <c r="AL23" s="32"/>
      <c r="AM23" s="32" t="s">
        <v>54</v>
      </c>
      <c r="AN23" s="32">
        <v>1</v>
      </c>
      <c r="AO23" s="32" t="s">
        <v>81</v>
      </c>
      <c r="AP23" s="32" t="s">
        <v>82</v>
      </c>
      <c r="AQ23" s="38" t="s">
        <v>355</v>
      </c>
      <c r="AR23" s="79" t="s">
        <v>351</v>
      </c>
      <c r="AS23" s="16" t="s">
        <v>352</v>
      </c>
      <c r="AT23" s="28" t="s">
        <v>660</v>
      </c>
      <c r="AU23" s="28" t="s">
        <v>661</v>
      </c>
      <c r="AV23" s="32"/>
      <c r="AW23" s="32">
        <f t="shared" si="2"/>
        <v>-24.121687999999999</v>
      </c>
      <c r="AX23" s="32">
        <f t="shared" si="3"/>
        <v>14.177888000000001</v>
      </c>
      <c r="AY23" s="32">
        <v>51</v>
      </c>
      <c r="AZ23" s="32"/>
      <c r="BA23" s="32"/>
      <c r="BB23" s="32" t="s">
        <v>650</v>
      </c>
      <c r="BC23" s="32">
        <v>2</v>
      </c>
      <c r="BD23" s="32" t="s">
        <v>81</v>
      </c>
      <c r="BE23" s="32" t="s">
        <v>648</v>
      </c>
    </row>
    <row r="24" spans="1:57" ht="75" x14ac:dyDescent="0.25">
      <c r="A24" s="32">
        <v>48</v>
      </c>
      <c r="B24" s="32">
        <v>1</v>
      </c>
      <c r="C24" s="16" t="s">
        <v>560</v>
      </c>
      <c r="D24" s="30" t="s">
        <v>357</v>
      </c>
      <c r="E24" s="16" t="s">
        <v>359</v>
      </c>
      <c r="F24" s="16" t="s">
        <v>360</v>
      </c>
      <c r="G24" s="32">
        <v>4</v>
      </c>
      <c r="H24" s="32" t="s">
        <v>98</v>
      </c>
      <c r="I24" s="16" t="s">
        <v>361</v>
      </c>
      <c r="J24" s="32">
        <v>1</v>
      </c>
      <c r="K24" s="34" t="s">
        <v>362</v>
      </c>
      <c r="L24" s="28">
        <v>-0.27</v>
      </c>
      <c r="M24" s="34" t="s">
        <v>362</v>
      </c>
      <c r="N24" s="16"/>
      <c r="O24" s="32"/>
      <c r="P24" s="32"/>
      <c r="Q24" s="32"/>
      <c r="R24" s="32"/>
      <c r="S24" s="32"/>
      <c r="T24" s="32"/>
      <c r="U24" s="32"/>
      <c r="V24" s="32"/>
      <c r="W24" s="36" t="s">
        <v>363</v>
      </c>
      <c r="X24" s="32"/>
      <c r="Y24" s="32">
        <v>0.01</v>
      </c>
      <c r="Z24" s="32"/>
      <c r="AA24" s="32"/>
      <c r="AB24" s="32"/>
      <c r="AC24" s="80" t="s">
        <v>364</v>
      </c>
      <c r="AD24" s="16" t="s">
        <v>549</v>
      </c>
      <c r="AE24" s="28">
        <v>-0.27</v>
      </c>
      <c r="AF24" s="62">
        <f>(AI24-AE24)/2</f>
        <v>0.17500000000000002</v>
      </c>
      <c r="AG24" s="32"/>
      <c r="AH24" s="32">
        <v>-0.61</v>
      </c>
      <c r="AI24" s="32">
        <v>0.08</v>
      </c>
      <c r="AJ24" s="32">
        <v>163</v>
      </c>
      <c r="AK24" s="32"/>
      <c r="AL24" s="32"/>
      <c r="AM24" s="32">
        <v>1</v>
      </c>
      <c r="AN24" s="32">
        <v>1</v>
      </c>
      <c r="AO24" s="32" t="s">
        <v>365</v>
      </c>
      <c r="AP24" s="32" t="s">
        <v>366</v>
      </c>
      <c r="AQ24" s="38" t="s">
        <v>367</v>
      </c>
      <c r="AR24" s="80" t="s">
        <v>364</v>
      </c>
      <c r="AS24" s="16" t="s">
        <v>549</v>
      </c>
      <c r="AT24" s="28">
        <v>0.73</v>
      </c>
      <c r="AU24" s="62">
        <f>(AX24-AT24)/2</f>
        <v>4.1068656716417902</v>
      </c>
      <c r="AV24" s="32"/>
      <c r="AW24" s="32">
        <v>13.549552238805999</v>
      </c>
      <c r="AX24" s="32">
        <v>8.9437313432835808</v>
      </c>
      <c r="AY24" s="32">
        <v>4.3379104477611801</v>
      </c>
      <c r="AZ24" s="32">
        <v>-0.26791044776121697</v>
      </c>
      <c r="BA24" s="32">
        <v>-4.8737313432835201</v>
      </c>
      <c r="BB24" s="32">
        <v>-9.4795522388059208</v>
      </c>
      <c r="BC24" s="32">
        <v>-14.0853731343283</v>
      </c>
      <c r="BD24" s="32" t="s">
        <v>365</v>
      </c>
      <c r="BE24" s="32" t="s">
        <v>366</v>
      </c>
    </row>
    <row r="25" spans="1:57" ht="45" x14ac:dyDescent="0.25">
      <c r="A25" s="32">
        <v>50</v>
      </c>
      <c r="B25" s="32">
        <v>1</v>
      </c>
      <c r="C25" s="16" t="s">
        <v>368</v>
      </c>
      <c r="D25" s="30" t="s">
        <v>370</v>
      </c>
      <c r="E25" s="16" t="s">
        <v>372</v>
      </c>
      <c r="F25" s="16" t="s">
        <v>373</v>
      </c>
      <c r="G25" s="32">
        <v>0</v>
      </c>
      <c r="H25" s="28" t="s">
        <v>63</v>
      </c>
      <c r="I25" s="16" t="s">
        <v>377</v>
      </c>
      <c r="J25" s="32">
        <v>0</v>
      </c>
      <c r="K25" s="38" t="s">
        <v>379</v>
      </c>
      <c r="L25" s="28"/>
      <c r="M25" s="46" t="s">
        <v>638</v>
      </c>
      <c r="N25" s="16"/>
      <c r="O25" s="28" t="s">
        <v>380</v>
      </c>
      <c r="P25" s="28" t="s">
        <v>381</v>
      </c>
      <c r="Q25" s="28">
        <v>0.42599999999999999</v>
      </c>
      <c r="R25" s="28">
        <v>0.49448249999999999</v>
      </c>
      <c r="S25" s="28">
        <v>842</v>
      </c>
      <c r="T25" s="28">
        <v>0.442</v>
      </c>
      <c r="U25" s="28">
        <v>0.49740000000000001</v>
      </c>
      <c r="V25" s="28">
        <v>288</v>
      </c>
      <c r="W25" s="36" t="s">
        <v>382</v>
      </c>
      <c r="X25" s="28">
        <f>T25-Q25</f>
        <v>1.6000000000000014E-2</v>
      </c>
      <c r="Y25" s="31" t="s">
        <v>383</v>
      </c>
      <c r="Z25" s="83">
        <v>-8.3299999999999999E-2</v>
      </c>
      <c r="AA25" s="83">
        <v>4.9346000000000001E-2</v>
      </c>
      <c r="AB25" s="31">
        <f t="shared" ref="AB25:AB26" si="4">(X25-Z25)/2</f>
        <v>4.9650000000000007E-2</v>
      </c>
      <c r="AC25" s="75" t="s">
        <v>551</v>
      </c>
      <c r="AD25" s="50" t="s">
        <v>550</v>
      </c>
      <c r="AE25" s="28"/>
      <c r="AF25" s="28"/>
      <c r="AG25" s="32"/>
      <c r="AH25" s="32"/>
      <c r="AI25" s="32"/>
      <c r="AJ25" s="32"/>
      <c r="AK25" s="32"/>
      <c r="AL25" s="32"/>
      <c r="AM25" s="32">
        <v>0</v>
      </c>
      <c r="AN25" s="32">
        <v>1</v>
      </c>
      <c r="AO25" s="32"/>
      <c r="AP25" s="32"/>
      <c r="AQ25" s="38"/>
      <c r="AR25" s="75" t="s">
        <v>551</v>
      </c>
      <c r="AS25" s="50" t="s">
        <v>550</v>
      </c>
      <c r="AT25" s="28"/>
      <c r="AU25" s="28"/>
      <c r="AV25" s="32"/>
      <c r="AW25" s="32"/>
      <c r="AX25" s="32"/>
      <c r="AY25" s="32"/>
      <c r="AZ25" s="32"/>
      <c r="BA25" s="32"/>
      <c r="BB25" s="32">
        <v>2</v>
      </c>
      <c r="BC25" s="32">
        <v>3</v>
      </c>
      <c r="BD25" s="32"/>
      <c r="BE25" s="32"/>
    </row>
    <row r="26" spans="1:57" ht="45" x14ac:dyDescent="0.25">
      <c r="A26" s="32">
        <v>50</v>
      </c>
      <c r="B26" s="32">
        <v>1</v>
      </c>
      <c r="C26" s="16" t="s">
        <v>368</v>
      </c>
      <c r="D26" s="30" t="s">
        <v>370</v>
      </c>
      <c r="E26" s="16" t="s">
        <v>372</v>
      </c>
      <c r="F26" s="16" t="s">
        <v>373</v>
      </c>
      <c r="G26" s="32">
        <v>0</v>
      </c>
      <c r="H26" s="28" t="s">
        <v>63</v>
      </c>
      <c r="I26" s="16" t="s">
        <v>387</v>
      </c>
      <c r="J26" s="32">
        <v>0</v>
      </c>
      <c r="K26" s="38" t="s">
        <v>379</v>
      </c>
      <c r="L26" s="28"/>
      <c r="M26" s="46" t="s">
        <v>638</v>
      </c>
      <c r="N26" s="16"/>
      <c r="O26" s="28">
        <v>80</v>
      </c>
      <c r="P26" s="28">
        <v>0.4</v>
      </c>
      <c r="Q26" s="28">
        <v>0.77500000000000002</v>
      </c>
      <c r="R26" s="28">
        <v>0.42</v>
      </c>
      <c r="S26" s="28">
        <v>842</v>
      </c>
      <c r="T26" s="28">
        <v>0.879</v>
      </c>
      <c r="U26" s="28">
        <v>0.4</v>
      </c>
      <c r="V26" s="28">
        <v>288</v>
      </c>
      <c r="W26" s="36" t="s">
        <v>382</v>
      </c>
      <c r="X26" s="28">
        <f>T26-Q26</f>
        <v>0.10399999999999998</v>
      </c>
      <c r="Y26" s="31">
        <v>2.2000000000000001E-3</v>
      </c>
      <c r="Z26" s="31">
        <f>(T26-Q26)+(1.97*(U26-R26))</f>
        <v>6.4600000000000046E-2</v>
      </c>
      <c r="AA26" s="31">
        <f>(T26-Q26)-(1.97*(U26-R26))</f>
        <v>0.14339999999999992</v>
      </c>
      <c r="AB26" s="31">
        <f t="shared" si="4"/>
        <v>1.9699999999999968E-2</v>
      </c>
      <c r="AC26" s="75" t="s">
        <v>551</v>
      </c>
      <c r="AD26" s="50" t="s">
        <v>550</v>
      </c>
      <c r="AE26" s="28"/>
      <c r="AF26" s="28"/>
      <c r="AG26" s="32"/>
      <c r="AH26" s="32"/>
      <c r="AI26" s="32"/>
      <c r="AJ26" s="32"/>
      <c r="AK26" s="32"/>
      <c r="AL26" s="32"/>
      <c r="AM26" s="32">
        <v>0</v>
      </c>
      <c r="AN26" s="32">
        <v>1</v>
      </c>
      <c r="AO26" s="32"/>
      <c r="AP26" s="32"/>
      <c r="AQ26" s="38"/>
      <c r="AR26" s="75" t="s">
        <v>551</v>
      </c>
      <c r="AS26" s="50" t="s">
        <v>550</v>
      </c>
      <c r="AT26" s="28"/>
      <c r="AU26" s="28"/>
      <c r="AV26" s="32"/>
      <c r="AW26" s="32"/>
      <c r="AX26" s="32"/>
      <c r="AY26" s="32"/>
      <c r="AZ26" s="32"/>
      <c r="BA26" s="32"/>
      <c r="BB26" s="32">
        <v>2</v>
      </c>
      <c r="BC26" s="32">
        <v>3</v>
      </c>
      <c r="BD26" s="32"/>
      <c r="BE26" s="32"/>
    </row>
    <row r="27" spans="1:57" ht="30" x14ac:dyDescent="0.25">
      <c r="A27" s="32">
        <v>53</v>
      </c>
      <c r="B27" s="32">
        <v>1</v>
      </c>
      <c r="C27" s="16" t="s">
        <v>389</v>
      </c>
      <c r="D27" s="30" t="s">
        <v>181</v>
      </c>
      <c r="E27" s="16" t="s">
        <v>390</v>
      </c>
      <c r="F27" s="16" t="s">
        <v>391</v>
      </c>
      <c r="G27" s="32">
        <v>11</v>
      </c>
      <c r="H27" s="28" t="s">
        <v>63</v>
      </c>
      <c r="I27" s="16" t="s">
        <v>392</v>
      </c>
      <c r="J27" s="32">
        <v>1</v>
      </c>
      <c r="K27" s="38" t="s">
        <v>393</v>
      </c>
      <c r="L27" s="28" t="s">
        <v>398</v>
      </c>
      <c r="M27" s="48" t="s">
        <v>394</v>
      </c>
      <c r="N27" s="16"/>
      <c r="O27" s="32">
        <v>0.67</v>
      </c>
      <c r="P27" s="32" t="s">
        <v>395</v>
      </c>
      <c r="Q27" s="32"/>
      <c r="R27" s="32"/>
      <c r="S27" s="32"/>
      <c r="T27" s="32"/>
      <c r="U27" s="32"/>
      <c r="V27" s="32"/>
      <c r="W27" s="36"/>
      <c r="X27" s="32"/>
      <c r="Y27" s="32"/>
      <c r="Z27" s="31"/>
      <c r="AA27" s="31"/>
      <c r="AB27" s="32"/>
      <c r="AC27" s="75" t="s">
        <v>396</v>
      </c>
      <c r="AD27" s="16" t="s">
        <v>553</v>
      </c>
      <c r="AE27" s="28" t="s">
        <v>398</v>
      </c>
      <c r="AF27" s="28" t="s">
        <v>399</v>
      </c>
      <c r="AG27" s="32"/>
      <c r="AH27" s="32">
        <f t="shared" ref="AH27:AH28" si="5">AE27-AF27*1.96</f>
        <v>-0.38088</v>
      </c>
      <c r="AI27" s="32">
        <f t="shared" ref="AI27:AI28" si="6">AE27+AF27*1.96</f>
        <v>2.2879999999999984E-2</v>
      </c>
      <c r="AJ27" s="32">
        <v>167</v>
      </c>
      <c r="AK27" s="32"/>
      <c r="AL27" s="32"/>
      <c r="AM27" s="32">
        <v>1</v>
      </c>
      <c r="AN27" s="32">
        <v>1</v>
      </c>
      <c r="AO27" s="32" t="s">
        <v>81</v>
      </c>
      <c r="AP27" s="32" t="s">
        <v>400</v>
      </c>
      <c r="AQ27" s="38" t="s">
        <v>401</v>
      </c>
      <c r="AR27" s="75" t="s">
        <v>396</v>
      </c>
      <c r="AS27" s="16" t="s">
        <v>553</v>
      </c>
      <c r="AT27" s="28" t="s">
        <v>662</v>
      </c>
      <c r="AU27" s="28" t="s">
        <v>663</v>
      </c>
      <c r="AV27" s="32"/>
      <c r="AW27" s="32">
        <f t="shared" ref="AW27:AW28" si="7">AT27-AU27*1.96</f>
        <v>-0.38383999999999996</v>
      </c>
      <c r="AX27" s="32">
        <f t="shared" ref="AX27:AX28" si="8">AT27+AU27*1.96</f>
        <v>2.384E-2</v>
      </c>
      <c r="AY27" s="32">
        <v>-62.846153846153399</v>
      </c>
      <c r="AZ27" s="32">
        <v>-107.53846153846099</v>
      </c>
      <c r="BA27" s="32">
        <v>-152.230769230769</v>
      </c>
      <c r="BB27" s="32">
        <v>-196.923076923076</v>
      </c>
      <c r="BC27" s="32">
        <v>-241.61538461538399</v>
      </c>
      <c r="BD27" s="32" t="s">
        <v>81</v>
      </c>
      <c r="BE27" s="32" t="s">
        <v>400</v>
      </c>
    </row>
    <row r="28" spans="1:57" ht="45" x14ac:dyDescent="0.25">
      <c r="A28" s="32">
        <v>53</v>
      </c>
      <c r="B28" s="32">
        <v>1</v>
      </c>
      <c r="C28" s="16" t="s">
        <v>389</v>
      </c>
      <c r="D28" s="30" t="s">
        <v>181</v>
      </c>
      <c r="E28" s="16" t="s">
        <v>390</v>
      </c>
      <c r="F28" s="16" t="s">
        <v>391</v>
      </c>
      <c r="G28" s="32">
        <v>11</v>
      </c>
      <c r="H28" s="28" t="s">
        <v>63</v>
      </c>
      <c r="I28" s="16" t="s">
        <v>71</v>
      </c>
      <c r="J28" s="32">
        <v>1</v>
      </c>
      <c r="K28" s="38" t="s">
        <v>393</v>
      </c>
      <c r="L28" s="28">
        <v>-0.11899999999999999</v>
      </c>
      <c r="M28" s="34" t="s">
        <v>394</v>
      </c>
      <c r="N28" s="16"/>
      <c r="O28" s="32">
        <v>0.63</v>
      </c>
      <c r="P28" s="32">
        <v>0.24</v>
      </c>
      <c r="Q28" s="32"/>
      <c r="R28" s="32"/>
      <c r="S28" s="32"/>
      <c r="T28" s="32"/>
      <c r="U28" s="32"/>
      <c r="V28" s="32"/>
      <c r="W28" s="36"/>
      <c r="X28" s="32"/>
      <c r="Y28" s="32"/>
      <c r="Z28" s="32"/>
      <c r="AA28" s="32"/>
      <c r="AB28" s="32"/>
      <c r="AC28" s="75" t="s">
        <v>403</v>
      </c>
      <c r="AD28" s="16" t="s">
        <v>553</v>
      </c>
      <c r="AE28" s="28">
        <v>-0.11899999999999999</v>
      </c>
      <c r="AF28" s="28">
        <v>3.7999999999999999E-2</v>
      </c>
      <c r="AG28" s="32"/>
      <c r="AH28" s="32">
        <f t="shared" si="5"/>
        <v>-0.19347999999999999</v>
      </c>
      <c r="AI28" s="32">
        <f t="shared" si="6"/>
        <v>-4.4520000000000004E-2</v>
      </c>
      <c r="AJ28" s="32">
        <v>202</v>
      </c>
      <c r="AK28" s="32"/>
      <c r="AL28" s="32"/>
      <c r="AM28" s="32">
        <v>1</v>
      </c>
      <c r="AN28" s="32">
        <v>1</v>
      </c>
      <c r="AO28" s="32" t="s">
        <v>81</v>
      </c>
      <c r="AP28" s="32" t="s">
        <v>404</v>
      </c>
      <c r="AQ28" s="38" t="s">
        <v>405</v>
      </c>
      <c r="AR28" s="75" t="s">
        <v>403</v>
      </c>
      <c r="AS28" s="16" t="s">
        <v>553</v>
      </c>
      <c r="AT28" s="28">
        <v>0.19500000000000001</v>
      </c>
      <c r="AU28" s="28">
        <v>0.35199999999999998</v>
      </c>
      <c r="AV28" s="32"/>
      <c r="AW28" s="32">
        <f t="shared" si="7"/>
        <v>-0.49491999999999997</v>
      </c>
      <c r="AX28" s="32">
        <f t="shared" si="8"/>
        <v>0.88491999999999993</v>
      </c>
      <c r="AY28" s="32">
        <v>-76.307692307692193</v>
      </c>
      <c r="AZ28" s="32">
        <v>-130.42307692307699</v>
      </c>
      <c r="BA28" s="32">
        <v>-184.53846153846101</v>
      </c>
      <c r="BB28" s="32">
        <v>-238.65384615384599</v>
      </c>
      <c r="BC28" s="32">
        <v>-292.769230769231</v>
      </c>
      <c r="BD28" s="32" t="s">
        <v>81</v>
      </c>
      <c r="BE28" s="32" t="s">
        <v>404</v>
      </c>
    </row>
    <row r="29" spans="1:57" ht="45" x14ac:dyDescent="0.25">
      <c r="A29" s="69">
        <v>64</v>
      </c>
      <c r="B29" s="66">
        <v>0</v>
      </c>
      <c r="C29" s="15" t="s">
        <v>486</v>
      </c>
      <c r="D29" s="63" t="s">
        <v>234</v>
      </c>
      <c r="E29" s="26" t="s">
        <v>236</v>
      </c>
      <c r="F29" s="15" t="s">
        <v>488</v>
      </c>
      <c r="G29" s="32" t="s">
        <v>489</v>
      </c>
      <c r="H29" s="32" t="s">
        <v>98</v>
      </c>
      <c r="I29" s="15" t="s">
        <v>493</v>
      </c>
      <c r="J29" s="32">
        <v>1</v>
      </c>
      <c r="K29" s="56" t="s">
        <v>495</v>
      </c>
      <c r="L29" s="56"/>
      <c r="M29" s="16" t="s">
        <v>497</v>
      </c>
      <c r="N29" s="15"/>
      <c r="O29" s="9"/>
      <c r="P29" s="9"/>
      <c r="Q29" s="9"/>
      <c r="R29" s="9"/>
      <c r="S29" s="9"/>
      <c r="T29" s="9"/>
      <c r="U29" s="9"/>
      <c r="V29" s="32"/>
      <c r="W29" s="36"/>
      <c r="X29" s="32"/>
      <c r="Y29" s="32"/>
      <c r="Z29" s="32"/>
      <c r="AA29" s="32"/>
      <c r="AB29" s="32"/>
      <c r="AC29" s="75"/>
      <c r="AD29" s="32"/>
      <c r="AE29" s="32"/>
      <c r="AF29" s="32"/>
      <c r="AG29" s="32"/>
      <c r="AH29" s="32"/>
      <c r="AI29" s="32"/>
      <c r="AJ29" s="32"/>
      <c r="AK29" s="32"/>
      <c r="AL29" s="32"/>
      <c r="AM29" s="32"/>
      <c r="AN29" s="32"/>
      <c r="AO29" s="32"/>
      <c r="AP29" s="32"/>
      <c r="AQ29" s="38"/>
      <c r="AR29" s="75"/>
      <c r="AS29" s="32"/>
      <c r="AT29" s="32"/>
      <c r="AU29" s="32"/>
      <c r="AV29" s="32"/>
      <c r="AW29" s="32"/>
      <c r="AX29" s="32"/>
      <c r="AY29" s="32"/>
      <c r="AZ29" s="32"/>
      <c r="BA29" s="32"/>
      <c r="BB29" s="32"/>
      <c r="BC29" s="32"/>
      <c r="BD29" s="32"/>
      <c r="BE29" s="32"/>
    </row>
  </sheetData>
  <autoFilter ref="A1:BE29" xr:uid="{141CB98B-C80E-4266-8AC5-4DADB4BF4B3C}"/>
  <mergeCells count="10">
    <mergeCell ref="A2:A3"/>
    <mergeCell ref="B2:B3"/>
    <mergeCell ref="J2:J3"/>
    <mergeCell ref="M2:M3"/>
    <mergeCell ref="K2:K3"/>
    <mergeCell ref="C2:C3"/>
    <mergeCell ref="D2:D3"/>
    <mergeCell ref="E2:E3"/>
    <mergeCell ref="F2:F3"/>
    <mergeCell ref="G2:G3"/>
  </mergeCells>
  <phoneticPr fontId="8" type="noConversion"/>
  <conditionalFormatting sqref="E21:G28">
    <cfRule type="expression" dxfId="66" priority="106">
      <formula>LEN(E21)=0</formula>
    </cfRule>
  </conditionalFormatting>
  <conditionalFormatting sqref="H3:H28">
    <cfRule type="expression" dxfId="65" priority="90">
      <formula>LEN(H3)=0</formula>
    </cfRule>
  </conditionalFormatting>
  <conditionalFormatting sqref="H2:M2">
    <cfRule type="expression" dxfId="64" priority="163">
      <formula>LEN(H2)=0</formula>
    </cfRule>
  </conditionalFormatting>
  <conditionalFormatting sqref="I9:L13">
    <cfRule type="expression" dxfId="63" priority="2">
      <formula>LEN(I9)=0</formula>
    </cfRule>
  </conditionalFormatting>
  <conditionalFormatting sqref="I19:M28">
    <cfRule type="expression" dxfId="62" priority="1">
      <formula>LEN(I19)=0</formula>
    </cfRule>
  </conditionalFormatting>
  <conditionalFormatting sqref="K6:K7">
    <cfRule type="expression" dxfId="61" priority="155">
      <formula>LEN(K6)=0</formula>
    </cfRule>
  </conditionalFormatting>
  <conditionalFormatting sqref="K8:L8">
    <cfRule type="expression" dxfId="60" priority="154">
      <formula>LEN(K8)=0</formula>
    </cfRule>
  </conditionalFormatting>
  <conditionalFormatting sqref="L3">
    <cfRule type="expression" dxfId="59" priority="162">
      <formula>LEN(L3)=0</formula>
    </cfRule>
  </conditionalFormatting>
  <conditionalFormatting sqref="M8:M12">
    <cfRule type="expression" dxfId="58" priority="134">
      <formula>LEN(M8)=0</formula>
    </cfRule>
  </conditionalFormatting>
  <conditionalFormatting sqref="M29">
    <cfRule type="expression" dxfId="57" priority="74">
      <formula>LEN(M29)=0</formula>
    </cfRule>
  </conditionalFormatting>
  <conditionalFormatting sqref="O6:P8">
    <cfRule type="expression" dxfId="56" priority="145">
      <formula>LEN(O6)=0</formula>
    </cfRule>
  </conditionalFormatting>
  <conditionalFormatting sqref="O5:Z5 AA5:AB7">
    <cfRule type="expression" dxfId="55" priority="54">
      <formula>LEN(O5)=0</formula>
    </cfRule>
  </conditionalFormatting>
  <conditionalFormatting sqref="O18:AB19">
    <cfRule type="expression" dxfId="54" priority="123">
      <formula>LEN(O18)=0</formula>
    </cfRule>
  </conditionalFormatting>
  <conditionalFormatting sqref="O21:AC24 AR21:AR24">
    <cfRule type="expression" dxfId="53" priority="114">
      <formula>LEN(O21)=0</formula>
    </cfRule>
  </conditionalFormatting>
  <conditionalFormatting sqref="O10:AD12 AS10:AS12">
    <cfRule type="expression" dxfId="52" priority="58">
      <formula>LEN(O10)=0</formula>
    </cfRule>
  </conditionalFormatting>
  <conditionalFormatting sqref="O25:AD28">
    <cfRule type="expression" dxfId="51" priority="7">
      <formula>LEN(O25)=0</formula>
    </cfRule>
  </conditionalFormatting>
  <conditionalFormatting sqref="O3:AG4">
    <cfRule type="expression" dxfId="50" priority="158">
      <formula>LEN(O3)=0</formula>
    </cfRule>
  </conditionalFormatting>
  <conditionalFormatting sqref="O13:AL17 AR14:BA17">
    <cfRule type="expression" dxfId="49" priority="125">
      <formula>LEN(O13)=0</formula>
    </cfRule>
  </conditionalFormatting>
  <conditionalFormatting sqref="O2:AP2 AR2:AR3">
    <cfRule type="expression" dxfId="48" priority="157">
      <formula>LEN(O2)=0</formula>
    </cfRule>
  </conditionalFormatting>
  <conditionalFormatting sqref="R7">
    <cfRule type="expression" dxfId="47" priority="156">
      <formula>LEN(R7)=0</formula>
    </cfRule>
  </conditionalFormatting>
  <conditionalFormatting sqref="S7:V8">
    <cfRule type="expression" dxfId="46" priority="141">
      <formula>LEN(S7)=0</formula>
    </cfRule>
  </conditionalFormatting>
  <conditionalFormatting sqref="V29:AP29">
    <cfRule type="expression" dxfId="45" priority="70">
      <formula>LEN(V29)=0</formula>
    </cfRule>
  </conditionalFormatting>
  <conditionalFormatting sqref="W7">
    <cfRule type="expression" dxfId="44" priority="140">
      <formula>LEN(W7)=0</formula>
    </cfRule>
  </conditionalFormatting>
  <conditionalFormatting sqref="W8:AB8">
    <cfRule type="expression" dxfId="43" priority="139">
      <formula>LEN(W8)=0</formula>
    </cfRule>
  </conditionalFormatting>
  <conditionalFormatting sqref="X6:Z7">
    <cfRule type="expression" dxfId="42" priority="52">
      <formula>LEN(X6)=0</formula>
    </cfRule>
  </conditionalFormatting>
  <conditionalFormatting sqref="AC5:AC8 AR5:AR8">
    <cfRule type="expression" dxfId="41" priority="41">
      <formula>LEN(AC5)=0</formula>
    </cfRule>
  </conditionalFormatting>
  <conditionalFormatting sqref="AD24 AS24">
    <cfRule type="expression" dxfId="40" priority="55">
      <formula>LEN(AD24)=0</formula>
    </cfRule>
  </conditionalFormatting>
  <conditionalFormatting sqref="AD18:AL19 AS18:BA19">
    <cfRule type="expression" dxfId="39" priority="101">
      <formula>LEN(AD18)=0</formula>
    </cfRule>
  </conditionalFormatting>
  <conditionalFormatting sqref="AD6:AP8 AS6:BE8">
    <cfRule type="expression" dxfId="38" priority="135">
      <formula>LEN(AD6)=0</formula>
    </cfRule>
  </conditionalFormatting>
  <conditionalFormatting sqref="AD21:AP23 AS21:BE23">
    <cfRule type="expression" dxfId="37" priority="56">
      <formula>LEN(AD21)=0</formula>
    </cfRule>
  </conditionalFormatting>
  <conditionalFormatting sqref="AE10:AP11 AT10:BE11">
    <cfRule type="expression" dxfId="36" priority="132">
      <formula>LEN(AE10)=0</formula>
    </cfRule>
  </conditionalFormatting>
  <conditionalFormatting sqref="AE24:AP28 AT24:BE28">
    <cfRule type="expression" dxfId="35" priority="98">
      <formula>LEN(AE24)=0</formula>
    </cfRule>
  </conditionalFormatting>
  <conditionalFormatting sqref="AR10:AR13">
    <cfRule type="expression" dxfId="34" priority="129">
      <formula>LEN(AR10)=0</formula>
    </cfRule>
  </conditionalFormatting>
  <conditionalFormatting sqref="AR25:AS28">
    <cfRule type="expression" dxfId="33" priority="43">
      <formula>LEN(AR25)=0</formula>
    </cfRule>
  </conditionalFormatting>
  <conditionalFormatting sqref="AS3:AV3">
    <cfRule type="expression" dxfId="32" priority="160">
      <formula>LEN(AS3)=0</formula>
    </cfRule>
  </conditionalFormatting>
  <conditionalFormatting sqref="AS13:BA13">
    <cfRule type="expression" dxfId="31" priority="130">
      <formula>LEN(AS13)=0</formula>
    </cfRule>
  </conditionalFormatting>
  <conditionalFormatting sqref="AS2:BE2 I3:J3 AH3:AP5 AW3:BE5 AR4:AV4 I4:K5 L4:M7 AD5:AG5 AS5:AV5 Q6:W6 I6:J8 Q7:Q8 T8 O9:AP9 AR9:BE9 AE12:AL12 AT12:BA12 AM12:AP20 BB12:BE20 I14:M15 I16:K16 L16:M17 I17:J18 K18:M18 O20:AL20 AR20:BA20 AR29:BE29">
    <cfRule type="expression" dxfId="30" priority="166">
      <formula>LEN(I2)=0</formula>
    </cfRule>
  </conditionalFormatting>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7B441-35E3-47A3-8DA5-7414CBE3B969}">
  <dimension ref="A1:AV20"/>
  <sheetViews>
    <sheetView workbookViewId="0">
      <selection activeCell="A4" sqref="A4:XET20"/>
    </sheetView>
  </sheetViews>
  <sheetFormatPr baseColWidth="10" defaultRowHeight="15" x14ac:dyDescent="0.25"/>
  <sheetData>
    <row r="1" spans="1:48" ht="47.25" x14ac:dyDescent="0.25">
      <c r="A1" s="1"/>
      <c r="B1" s="1"/>
      <c r="C1" s="2" t="s">
        <v>0</v>
      </c>
      <c r="D1" s="3"/>
      <c r="E1" s="4"/>
      <c r="F1" s="72"/>
      <c r="G1" s="72"/>
      <c r="H1" s="72"/>
      <c r="I1" s="74" t="s">
        <v>2</v>
      </c>
      <c r="J1" s="72"/>
      <c r="K1" s="92"/>
      <c r="L1" s="5"/>
      <c r="M1" s="5"/>
      <c r="N1" s="5"/>
      <c r="O1" s="6"/>
      <c r="P1" s="5"/>
      <c r="Q1" s="2"/>
      <c r="R1" s="104" t="s">
        <v>3</v>
      </c>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5"/>
      <c r="AU1" s="7"/>
      <c r="AV1" s="8"/>
    </row>
    <row r="2" spans="1:48" x14ac:dyDescent="0.25">
      <c r="A2" s="9"/>
      <c r="B2" s="9"/>
      <c r="C2" s="10"/>
      <c r="D2" s="11"/>
      <c r="E2" s="11"/>
      <c r="F2" s="10"/>
      <c r="G2" s="11"/>
      <c r="H2" s="11"/>
      <c r="I2" s="10"/>
      <c r="J2" s="10"/>
      <c r="K2" s="10"/>
      <c r="L2" s="10"/>
      <c r="M2" s="10"/>
      <c r="N2" s="10"/>
      <c r="O2" s="11"/>
      <c r="P2" s="10"/>
      <c r="Q2" s="10"/>
      <c r="R2" s="106" t="s">
        <v>4</v>
      </c>
      <c r="S2" s="106"/>
      <c r="T2" s="106"/>
      <c r="U2" s="106"/>
      <c r="V2" s="106"/>
      <c r="W2" s="106"/>
      <c r="X2" s="106"/>
      <c r="Y2" s="107"/>
      <c r="Z2" s="108" t="s">
        <v>5</v>
      </c>
      <c r="AA2" s="106"/>
      <c r="AB2" s="106"/>
      <c r="AC2" s="11"/>
      <c r="AD2" s="11"/>
      <c r="AE2" s="11"/>
      <c r="AF2" s="77"/>
      <c r="AG2" s="14"/>
      <c r="AH2" s="106" t="s">
        <v>6</v>
      </c>
      <c r="AI2" s="106"/>
      <c r="AJ2" s="106"/>
      <c r="AK2" s="106"/>
      <c r="AL2" s="106"/>
      <c r="AM2" s="106"/>
      <c r="AN2" s="106"/>
      <c r="AO2" s="106"/>
      <c r="AP2" s="106"/>
      <c r="AQ2" s="106"/>
      <c r="AR2" s="106"/>
      <c r="AS2" s="106"/>
      <c r="AT2" s="109"/>
      <c r="AU2" s="15"/>
      <c r="AV2" s="16"/>
    </row>
    <row r="3" spans="1:48" ht="255" x14ac:dyDescent="0.25">
      <c r="A3" s="18" t="s">
        <v>7</v>
      </c>
      <c r="B3" s="18" t="s">
        <v>8</v>
      </c>
      <c r="C3" s="18" t="s">
        <v>9</v>
      </c>
      <c r="D3" s="18" t="s">
        <v>10</v>
      </c>
      <c r="E3" s="18" t="s">
        <v>11</v>
      </c>
      <c r="F3" s="18" t="s">
        <v>18</v>
      </c>
      <c r="G3" s="18" t="s">
        <v>19</v>
      </c>
      <c r="H3" s="18" t="s">
        <v>20</v>
      </c>
      <c r="I3" s="18" t="s">
        <v>21</v>
      </c>
      <c r="J3" s="18" t="s">
        <v>22</v>
      </c>
      <c r="K3" s="18" t="s">
        <v>23</v>
      </c>
      <c r="L3" s="18" t="s">
        <v>24</v>
      </c>
      <c r="M3" s="18" t="s">
        <v>25</v>
      </c>
      <c r="N3" s="18" t="s">
        <v>26</v>
      </c>
      <c r="O3" s="18" t="s">
        <v>27</v>
      </c>
      <c r="P3" s="18" t="s">
        <v>28</v>
      </c>
      <c r="Q3" s="18" t="s">
        <v>29</v>
      </c>
      <c r="R3" s="18" t="s">
        <v>30</v>
      </c>
      <c r="S3" s="18" t="s">
        <v>31</v>
      </c>
      <c r="T3" s="22" t="s">
        <v>32</v>
      </c>
      <c r="U3" s="22" t="s">
        <v>33</v>
      </c>
      <c r="V3" s="22" t="s">
        <v>34</v>
      </c>
      <c r="W3" s="22" t="s">
        <v>35</v>
      </c>
      <c r="X3" s="22" t="s">
        <v>36</v>
      </c>
      <c r="Y3" s="22" t="s">
        <v>37</v>
      </c>
      <c r="Z3" s="23" t="s">
        <v>38</v>
      </c>
      <c r="AA3" s="18" t="s">
        <v>552</v>
      </c>
      <c r="AB3" s="22" t="s">
        <v>39</v>
      </c>
      <c r="AC3" s="76" t="s">
        <v>633</v>
      </c>
      <c r="AD3" s="76" t="s">
        <v>634</v>
      </c>
      <c r="AE3" s="76" t="s">
        <v>635</v>
      </c>
      <c r="AF3" s="78" t="s">
        <v>40</v>
      </c>
      <c r="AG3" s="22" t="s">
        <v>41</v>
      </c>
      <c r="AH3" s="22" t="s">
        <v>42</v>
      </c>
      <c r="AI3" s="22" t="s">
        <v>43</v>
      </c>
      <c r="AJ3" s="22" t="s">
        <v>39</v>
      </c>
      <c r="AK3" s="22" t="s">
        <v>44</v>
      </c>
      <c r="AL3" s="22" t="s">
        <v>45</v>
      </c>
      <c r="AM3" s="22" t="s">
        <v>46</v>
      </c>
      <c r="AN3" s="22" t="s">
        <v>558</v>
      </c>
      <c r="AO3" s="22" t="s">
        <v>559</v>
      </c>
      <c r="AP3" s="18" t="s">
        <v>47</v>
      </c>
      <c r="AQ3" s="18" t="s">
        <v>48</v>
      </c>
      <c r="AR3" s="18" t="s">
        <v>49</v>
      </c>
      <c r="AS3" s="18" t="s">
        <v>50</v>
      </c>
      <c r="AT3" s="21" t="s">
        <v>51</v>
      </c>
      <c r="AU3" s="24" t="s">
        <v>52</v>
      </c>
      <c r="AV3" s="18" t="s">
        <v>53</v>
      </c>
    </row>
    <row r="4" spans="1:48" ht="390" x14ac:dyDescent="0.25">
      <c r="A4" s="32">
        <v>9</v>
      </c>
      <c r="B4" s="32">
        <v>0</v>
      </c>
      <c r="C4" s="26" t="s">
        <v>178</v>
      </c>
      <c r="D4" s="25" t="s">
        <v>179</v>
      </c>
      <c r="E4" s="25" t="s">
        <v>180</v>
      </c>
      <c r="F4" s="53" t="s">
        <v>197</v>
      </c>
      <c r="G4" s="32" t="s">
        <v>197</v>
      </c>
      <c r="H4" s="32" t="s">
        <v>87</v>
      </c>
      <c r="I4" s="16" t="s">
        <v>198</v>
      </c>
      <c r="J4" s="16" t="s">
        <v>199</v>
      </c>
      <c r="K4" s="15" t="s">
        <v>200</v>
      </c>
      <c r="L4" s="16"/>
      <c r="M4" s="16"/>
      <c r="N4" s="95" t="s">
        <v>189</v>
      </c>
      <c r="O4" s="35" t="s">
        <v>71</v>
      </c>
      <c r="P4" s="15" t="s">
        <v>190</v>
      </c>
      <c r="Q4" s="16"/>
      <c r="R4" s="32"/>
      <c r="S4" s="32"/>
      <c r="T4" s="32"/>
      <c r="U4" s="32"/>
      <c r="V4" s="32"/>
      <c r="W4" s="32"/>
      <c r="X4" s="32"/>
      <c r="Y4" s="32"/>
      <c r="Z4" s="36"/>
      <c r="AA4" s="32"/>
      <c r="AB4" s="32"/>
      <c r="AC4" s="32"/>
      <c r="AD4" s="32"/>
      <c r="AE4" s="32"/>
      <c r="AF4" s="80" t="s">
        <v>201</v>
      </c>
      <c r="AG4" s="16" t="s">
        <v>556</v>
      </c>
      <c r="AH4" s="28">
        <v>0.14199999999999999</v>
      </c>
      <c r="AI4" s="28">
        <v>0.33300000000000002</v>
      </c>
      <c r="AJ4" s="32" t="s">
        <v>202</v>
      </c>
      <c r="AK4" s="32"/>
      <c r="AL4" s="32"/>
      <c r="AM4" s="32"/>
      <c r="AN4" s="32"/>
      <c r="AO4" s="32"/>
      <c r="AP4" s="32" t="s">
        <v>54</v>
      </c>
      <c r="AQ4" s="32">
        <v>1</v>
      </c>
      <c r="AR4" s="32" t="s">
        <v>203</v>
      </c>
      <c r="AS4" s="32" t="s">
        <v>204</v>
      </c>
      <c r="AT4" s="38"/>
      <c r="AU4" s="15"/>
      <c r="AV4" s="16" t="s">
        <v>205</v>
      </c>
    </row>
    <row r="5" spans="1:48" ht="390" x14ac:dyDescent="0.25">
      <c r="A5" s="32">
        <v>9</v>
      </c>
      <c r="B5" s="32">
        <v>0</v>
      </c>
      <c r="C5" s="26" t="s">
        <v>178</v>
      </c>
      <c r="D5" s="25" t="s">
        <v>179</v>
      </c>
      <c r="E5" s="25" t="s">
        <v>180</v>
      </c>
      <c r="F5" s="53" t="s">
        <v>197</v>
      </c>
      <c r="G5" s="32" t="s">
        <v>197</v>
      </c>
      <c r="H5" s="32" t="s">
        <v>87</v>
      </c>
      <c r="I5" s="16" t="s">
        <v>198</v>
      </c>
      <c r="J5" s="16" t="s">
        <v>199</v>
      </c>
      <c r="K5" s="15" t="s">
        <v>200</v>
      </c>
      <c r="L5" s="16"/>
      <c r="M5" s="16"/>
      <c r="N5" s="95" t="s">
        <v>189</v>
      </c>
      <c r="O5" s="37" t="s">
        <v>71</v>
      </c>
      <c r="P5" s="15" t="s">
        <v>194</v>
      </c>
      <c r="Q5" s="16"/>
      <c r="R5" s="32"/>
      <c r="S5" s="32"/>
      <c r="T5" s="32"/>
      <c r="U5" s="32"/>
      <c r="V5" s="32"/>
      <c r="W5" s="32"/>
      <c r="X5" s="32"/>
      <c r="Y5" s="32"/>
      <c r="Z5" s="36"/>
      <c r="AA5" s="32"/>
      <c r="AB5" s="32"/>
      <c r="AC5" s="32"/>
      <c r="AD5" s="32"/>
      <c r="AE5" s="32"/>
      <c r="AF5" s="80" t="s">
        <v>201</v>
      </c>
      <c r="AG5" s="16" t="s">
        <v>557</v>
      </c>
      <c r="AH5" s="28">
        <v>-1.222</v>
      </c>
      <c r="AI5" s="28">
        <v>0.433</v>
      </c>
      <c r="AJ5" s="32" t="s">
        <v>206</v>
      </c>
      <c r="AK5" s="32"/>
      <c r="AL5" s="32"/>
      <c r="AM5" s="32"/>
      <c r="AN5" s="32"/>
      <c r="AO5" s="32"/>
      <c r="AP5" s="32" t="s">
        <v>54</v>
      </c>
      <c r="AQ5" s="32">
        <v>1</v>
      </c>
      <c r="AR5" s="32" t="s">
        <v>203</v>
      </c>
      <c r="AS5" s="32" t="s">
        <v>207</v>
      </c>
      <c r="AT5" s="38"/>
      <c r="AU5" s="15"/>
      <c r="AV5" s="16" t="s">
        <v>205</v>
      </c>
    </row>
    <row r="6" spans="1:48" ht="180" x14ac:dyDescent="0.25">
      <c r="A6" s="32">
        <v>36</v>
      </c>
      <c r="B6" s="32">
        <v>0</v>
      </c>
      <c r="C6" s="16" t="s">
        <v>302</v>
      </c>
      <c r="D6" s="32">
        <v>2018</v>
      </c>
      <c r="E6" s="32" t="s">
        <v>303</v>
      </c>
      <c r="F6" s="53" t="s">
        <v>197</v>
      </c>
      <c r="G6" s="32" t="s">
        <v>197</v>
      </c>
      <c r="H6" s="32">
        <v>0</v>
      </c>
      <c r="I6" s="16" t="s">
        <v>198</v>
      </c>
      <c r="J6" s="16" t="s">
        <v>199</v>
      </c>
      <c r="K6" s="54" t="s">
        <v>309</v>
      </c>
      <c r="L6" s="54" t="s">
        <v>310</v>
      </c>
      <c r="M6" s="16" t="s">
        <v>86</v>
      </c>
      <c r="N6" s="42" t="s">
        <v>311</v>
      </c>
      <c r="O6" s="37" t="s">
        <v>312</v>
      </c>
      <c r="P6" s="42" t="s">
        <v>313</v>
      </c>
      <c r="Q6" s="42" t="s">
        <v>314</v>
      </c>
      <c r="R6" s="32">
        <v>2.87</v>
      </c>
      <c r="S6" s="32">
        <v>0.96</v>
      </c>
      <c r="T6" s="32"/>
      <c r="U6" s="32"/>
      <c r="V6" s="32"/>
      <c r="W6" s="32"/>
      <c r="X6" s="32"/>
      <c r="Y6" s="32"/>
      <c r="Z6" s="36"/>
      <c r="AA6" s="32"/>
      <c r="AB6" s="32"/>
      <c r="AC6" s="32"/>
      <c r="AD6" s="32"/>
      <c r="AE6" s="32"/>
      <c r="AF6" s="75"/>
      <c r="AG6" s="16"/>
      <c r="AH6" s="28" t="s">
        <v>315</v>
      </c>
      <c r="AI6" s="28" t="s">
        <v>316</v>
      </c>
      <c r="AJ6" s="32"/>
      <c r="AK6" s="32">
        <v>6.6679999999999989E-2</v>
      </c>
      <c r="AL6" s="32">
        <v>0.23132</v>
      </c>
      <c r="AM6" s="32"/>
      <c r="AN6" s="32"/>
      <c r="AO6" s="32"/>
      <c r="AP6" s="32">
        <v>1</v>
      </c>
      <c r="AQ6" s="32">
        <v>1</v>
      </c>
      <c r="AR6" s="32"/>
      <c r="AS6" s="32"/>
      <c r="AT6" s="38" t="s">
        <v>317</v>
      </c>
      <c r="AU6" s="15" t="s">
        <v>318</v>
      </c>
      <c r="AV6" s="59" t="s">
        <v>319</v>
      </c>
    </row>
    <row r="7" spans="1:48" ht="409.5" x14ac:dyDescent="0.25">
      <c r="A7" s="28">
        <v>56</v>
      </c>
      <c r="B7" s="28">
        <v>1</v>
      </c>
      <c r="C7" s="16" t="s">
        <v>406</v>
      </c>
      <c r="D7" s="28">
        <v>2017</v>
      </c>
      <c r="E7" s="28" t="s">
        <v>407</v>
      </c>
      <c r="F7" s="53" t="s">
        <v>197</v>
      </c>
      <c r="G7" s="32" t="s">
        <v>197</v>
      </c>
      <c r="H7" s="32">
        <v>0</v>
      </c>
      <c r="I7" s="16" t="s">
        <v>410</v>
      </c>
      <c r="J7" s="16" t="s">
        <v>411</v>
      </c>
      <c r="K7" s="16" t="s">
        <v>412</v>
      </c>
      <c r="L7" s="16" t="s">
        <v>413</v>
      </c>
      <c r="M7" s="16" t="s">
        <v>86</v>
      </c>
      <c r="N7" s="48" t="s">
        <v>414</v>
      </c>
      <c r="O7" s="32">
        <v>0</v>
      </c>
      <c r="P7" s="16" t="s">
        <v>415</v>
      </c>
      <c r="Q7" s="16"/>
      <c r="R7" s="32"/>
      <c r="S7" s="32"/>
      <c r="T7" s="32"/>
      <c r="U7" s="32"/>
      <c r="V7" s="32"/>
      <c r="W7" s="32"/>
      <c r="X7" s="32"/>
      <c r="Y7" s="32"/>
      <c r="Z7" s="36"/>
      <c r="AA7" s="32"/>
      <c r="AB7" s="32"/>
      <c r="AC7" s="32"/>
      <c r="AD7" s="32"/>
      <c r="AE7" s="32"/>
      <c r="AF7" s="75" t="s">
        <v>416</v>
      </c>
      <c r="AG7" s="16" t="s">
        <v>417</v>
      </c>
      <c r="AH7" s="28">
        <v>-1E-3</v>
      </c>
      <c r="AI7" s="28">
        <v>1E-3</v>
      </c>
      <c r="AJ7" s="32"/>
      <c r="AK7" s="32">
        <v>-2.96E-3</v>
      </c>
      <c r="AL7" s="32">
        <v>9.5999999999999992E-4</v>
      </c>
      <c r="AM7" s="32">
        <v>4610</v>
      </c>
      <c r="AN7" s="32">
        <v>0.38</v>
      </c>
      <c r="AO7" s="32">
        <v>19.625</v>
      </c>
      <c r="AP7" s="32">
        <v>1</v>
      </c>
      <c r="AQ7" s="32">
        <v>1</v>
      </c>
      <c r="AR7" s="32" t="s">
        <v>81</v>
      </c>
      <c r="AS7" s="32" t="s">
        <v>418</v>
      </c>
      <c r="AT7" s="38"/>
      <c r="AU7" s="15"/>
      <c r="AV7" s="16"/>
    </row>
    <row r="8" spans="1:48" ht="45" x14ac:dyDescent="0.25">
      <c r="A8" s="28">
        <v>57</v>
      </c>
      <c r="B8" s="28">
        <v>1</v>
      </c>
      <c r="C8" s="16" t="s">
        <v>609</v>
      </c>
      <c r="D8" s="28">
        <v>2020</v>
      </c>
      <c r="E8" s="28" t="s">
        <v>608</v>
      </c>
      <c r="F8" s="53" t="s">
        <v>197</v>
      </c>
      <c r="G8" s="32" t="s">
        <v>197</v>
      </c>
      <c r="H8" s="32">
        <v>0</v>
      </c>
      <c r="I8" s="16" t="s">
        <v>421</v>
      </c>
      <c r="J8" s="16" t="s">
        <v>422</v>
      </c>
      <c r="K8" s="16" t="s">
        <v>71</v>
      </c>
      <c r="L8" s="28" t="s">
        <v>71</v>
      </c>
      <c r="M8" s="16" t="s">
        <v>86</v>
      </c>
      <c r="N8" s="49"/>
      <c r="O8" s="32" t="s">
        <v>71</v>
      </c>
      <c r="P8" s="46" t="s">
        <v>423</v>
      </c>
      <c r="Q8" s="16"/>
      <c r="R8" s="32"/>
      <c r="S8" s="32"/>
      <c r="T8" s="32"/>
      <c r="U8" s="32"/>
      <c r="V8" s="32"/>
      <c r="W8" s="32"/>
      <c r="X8" s="32"/>
      <c r="Y8" s="32"/>
      <c r="Z8" s="36"/>
      <c r="AA8" s="32"/>
      <c r="AB8" s="32"/>
      <c r="AC8" s="32"/>
      <c r="AD8" s="32"/>
      <c r="AE8" s="32"/>
      <c r="AF8" s="75" t="s">
        <v>424</v>
      </c>
      <c r="AG8" s="16" t="s">
        <v>425</v>
      </c>
      <c r="AH8" s="28" t="s">
        <v>426</v>
      </c>
      <c r="AI8" s="28" t="s">
        <v>79</v>
      </c>
      <c r="AJ8" s="32" t="s">
        <v>78</v>
      </c>
      <c r="AK8" s="32">
        <v>-0.20712</v>
      </c>
      <c r="AL8" s="32">
        <v>-2.2880000000000011E-2</v>
      </c>
      <c r="AM8" s="32">
        <v>2352</v>
      </c>
      <c r="AN8" s="32"/>
      <c r="AO8" s="32"/>
      <c r="AP8" s="32">
        <v>0</v>
      </c>
      <c r="AQ8" s="32">
        <v>0</v>
      </c>
      <c r="AR8" s="32" t="s">
        <v>81</v>
      </c>
      <c r="AS8" s="32" t="s">
        <v>366</v>
      </c>
      <c r="AT8" s="38"/>
      <c r="AU8" s="15"/>
      <c r="AV8" s="16"/>
    </row>
    <row r="9" spans="1:48" ht="255" x14ac:dyDescent="0.25">
      <c r="A9" s="28">
        <v>59</v>
      </c>
      <c r="B9" s="28">
        <v>1</v>
      </c>
      <c r="C9" s="15" t="s">
        <v>427</v>
      </c>
      <c r="D9" s="28">
        <v>2020</v>
      </c>
      <c r="E9" s="28" t="s">
        <v>428</v>
      </c>
      <c r="F9" s="53" t="s">
        <v>430</v>
      </c>
      <c r="G9" s="32" t="s">
        <v>197</v>
      </c>
      <c r="H9" s="32">
        <v>0</v>
      </c>
      <c r="I9" s="15" t="s">
        <v>580</v>
      </c>
      <c r="J9" s="16" t="s">
        <v>431</v>
      </c>
      <c r="K9" s="16" t="s">
        <v>432</v>
      </c>
      <c r="L9" s="28" t="s">
        <v>71</v>
      </c>
      <c r="M9" s="16" t="s">
        <v>86</v>
      </c>
      <c r="N9" s="38" t="s">
        <v>433</v>
      </c>
      <c r="O9" s="32" t="s">
        <v>71</v>
      </c>
      <c r="P9" s="16" t="s">
        <v>639</v>
      </c>
      <c r="Q9" s="28"/>
      <c r="R9" s="32"/>
      <c r="S9" s="32"/>
      <c r="T9" s="32">
        <v>0.216</v>
      </c>
      <c r="U9" s="32">
        <v>0.41099999999999998</v>
      </c>
      <c r="V9" s="32"/>
      <c r="W9" s="32">
        <v>0.25</v>
      </c>
      <c r="X9" s="32">
        <v>0.434</v>
      </c>
      <c r="Y9" s="32"/>
      <c r="Z9" s="36"/>
      <c r="AA9" s="32"/>
      <c r="AB9" s="32"/>
      <c r="AC9" s="32"/>
      <c r="AD9" s="32"/>
      <c r="AE9" s="32"/>
      <c r="AF9" s="75" t="s">
        <v>434</v>
      </c>
      <c r="AG9" s="16" t="s">
        <v>435</v>
      </c>
      <c r="AH9" s="28">
        <v>-0.13100000000000001</v>
      </c>
      <c r="AI9" s="28">
        <v>0</v>
      </c>
      <c r="AJ9" s="32"/>
      <c r="AK9" s="32">
        <v>-0.13100000000000001</v>
      </c>
      <c r="AL9" s="32">
        <v>-0.13100000000000001</v>
      </c>
      <c r="AM9" s="32">
        <v>2932</v>
      </c>
      <c r="AN9" s="32">
        <v>0.41599999999999998</v>
      </c>
      <c r="AO9" s="32">
        <v>0.38700000000000001</v>
      </c>
      <c r="AP9" s="32">
        <v>0</v>
      </c>
      <c r="AQ9" s="32">
        <v>1</v>
      </c>
      <c r="AR9" s="32" t="s">
        <v>81</v>
      </c>
      <c r="AS9" s="32" t="s">
        <v>436</v>
      </c>
      <c r="AT9" s="38"/>
      <c r="AU9" s="15"/>
      <c r="AV9" s="16"/>
    </row>
    <row r="10" spans="1:48" ht="375" x14ac:dyDescent="0.25">
      <c r="A10" s="69">
        <v>60</v>
      </c>
      <c r="B10" s="69">
        <v>1</v>
      </c>
      <c r="C10" s="15" t="s">
        <v>437</v>
      </c>
      <c r="D10" s="64">
        <v>2021</v>
      </c>
      <c r="E10" s="64" t="s">
        <v>438</v>
      </c>
      <c r="F10" s="53" t="s">
        <v>197</v>
      </c>
      <c r="G10" s="32" t="s">
        <v>197</v>
      </c>
      <c r="H10" s="32">
        <v>0</v>
      </c>
      <c r="I10" s="16" t="s">
        <v>410</v>
      </c>
      <c r="J10" s="16" t="s">
        <v>441</v>
      </c>
      <c r="K10" s="34" t="s">
        <v>442</v>
      </c>
      <c r="L10" s="66" t="s">
        <v>71</v>
      </c>
      <c r="M10" s="16" t="s">
        <v>86</v>
      </c>
      <c r="N10" s="34" t="s">
        <v>443</v>
      </c>
      <c r="O10" s="32" t="s">
        <v>126</v>
      </c>
      <c r="P10" s="34" t="s">
        <v>444</v>
      </c>
      <c r="Q10" s="48"/>
      <c r="R10" s="67">
        <v>2.92</v>
      </c>
      <c r="S10" s="67">
        <v>1.06</v>
      </c>
      <c r="T10" s="32"/>
      <c r="U10" s="32"/>
      <c r="V10" s="32"/>
      <c r="W10" s="32"/>
      <c r="X10" s="32"/>
      <c r="Y10" s="32"/>
      <c r="Z10" s="36"/>
      <c r="AA10" s="32"/>
      <c r="AB10" s="32"/>
      <c r="AC10" s="32"/>
      <c r="AD10" s="32"/>
      <c r="AE10" s="32"/>
      <c r="AF10" s="75" t="s">
        <v>445</v>
      </c>
      <c r="AG10" s="16" t="s">
        <v>446</v>
      </c>
      <c r="AH10" s="28">
        <v>9.4500000000000001E-2</v>
      </c>
      <c r="AI10" s="28">
        <v>2.1999999999999999E-2</v>
      </c>
      <c r="AJ10" s="32"/>
      <c r="AK10" s="32">
        <v>5.1380000000000002E-2</v>
      </c>
      <c r="AL10" s="32">
        <v>0.13761999999999999</v>
      </c>
      <c r="AM10" s="32">
        <v>6953</v>
      </c>
      <c r="AN10" s="32">
        <v>2.92</v>
      </c>
      <c r="AO10" s="32">
        <v>0.13700000000000001</v>
      </c>
      <c r="AP10" s="32">
        <v>1</v>
      </c>
      <c r="AQ10" s="32">
        <v>1</v>
      </c>
      <c r="AR10" s="32" t="s">
        <v>81</v>
      </c>
      <c r="AS10" s="32" t="s">
        <v>447</v>
      </c>
      <c r="AT10" s="38"/>
      <c r="AU10" s="15" t="s">
        <v>448</v>
      </c>
      <c r="AV10" s="68"/>
    </row>
    <row r="11" spans="1:48" ht="180" x14ac:dyDescent="0.25">
      <c r="A11" s="28">
        <v>61</v>
      </c>
      <c r="B11" s="28">
        <v>1</v>
      </c>
      <c r="C11" s="16" t="s">
        <v>449</v>
      </c>
      <c r="D11" s="32">
        <v>2021</v>
      </c>
      <c r="E11" s="32" t="s">
        <v>450</v>
      </c>
      <c r="F11" s="53" t="s">
        <v>197</v>
      </c>
      <c r="G11" s="32" t="s">
        <v>197</v>
      </c>
      <c r="H11" s="32">
        <v>0</v>
      </c>
      <c r="I11" s="15" t="s">
        <v>454</v>
      </c>
      <c r="J11" s="15" t="s">
        <v>455</v>
      </c>
      <c r="K11" s="15" t="s">
        <v>456</v>
      </c>
      <c r="L11" s="28" t="s">
        <v>71</v>
      </c>
      <c r="M11" s="16" t="s">
        <v>86</v>
      </c>
      <c r="N11" s="15" t="s">
        <v>457</v>
      </c>
      <c r="O11" s="32" t="s">
        <v>458</v>
      </c>
      <c r="P11" s="16" t="s">
        <v>640</v>
      </c>
      <c r="Q11" s="15" t="s">
        <v>459</v>
      </c>
      <c r="R11" s="32">
        <v>0.248</v>
      </c>
      <c r="S11" s="32">
        <v>0.432</v>
      </c>
      <c r="T11" s="32"/>
      <c r="U11" s="32"/>
      <c r="V11" s="32"/>
      <c r="W11" s="32"/>
      <c r="X11" s="32"/>
      <c r="Y11" s="32"/>
      <c r="Z11" s="36"/>
      <c r="AA11" s="32"/>
      <c r="AB11" s="32"/>
      <c r="AC11" s="32"/>
      <c r="AD11" s="32"/>
      <c r="AE11" s="32"/>
      <c r="AF11" s="75" t="s">
        <v>460</v>
      </c>
      <c r="AG11" s="16" t="s">
        <v>461</v>
      </c>
      <c r="AH11" s="28">
        <v>5.2999999999999999E-2</v>
      </c>
      <c r="AI11" s="28">
        <v>1.7000000000000001E-2</v>
      </c>
      <c r="AJ11" s="32"/>
      <c r="AK11" s="32">
        <v>1.9679999999999996E-2</v>
      </c>
      <c r="AL11" s="32">
        <v>8.6320000000000008E-2</v>
      </c>
      <c r="AM11" s="32">
        <v>40569</v>
      </c>
      <c r="AN11" s="32">
        <v>0.432</v>
      </c>
      <c r="AO11" s="32">
        <v>0.45300000000000001</v>
      </c>
      <c r="AP11" s="32">
        <v>0</v>
      </c>
      <c r="AQ11" s="32">
        <v>0</v>
      </c>
      <c r="AR11" s="32" t="s">
        <v>81</v>
      </c>
      <c r="AS11" s="32" t="s">
        <v>325</v>
      </c>
      <c r="AT11" s="38"/>
      <c r="AU11" s="15"/>
      <c r="AV11" s="16"/>
    </row>
    <row r="12" spans="1:48" ht="330" x14ac:dyDescent="0.25">
      <c r="A12" s="69">
        <v>62</v>
      </c>
      <c r="B12" s="66">
        <v>0</v>
      </c>
      <c r="C12" s="16" t="s">
        <v>462</v>
      </c>
      <c r="D12" s="32">
        <v>2017</v>
      </c>
      <c r="E12" s="32" t="s">
        <v>463</v>
      </c>
      <c r="F12" s="53" t="s">
        <v>197</v>
      </c>
      <c r="G12" s="32" t="s">
        <v>197</v>
      </c>
      <c r="H12" s="28">
        <v>0</v>
      </c>
      <c r="I12" s="15" t="s">
        <v>580</v>
      </c>
      <c r="J12" s="16" t="s">
        <v>465</v>
      </c>
      <c r="K12" s="16" t="s">
        <v>466</v>
      </c>
      <c r="L12" s="28" t="s">
        <v>71</v>
      </c>
      <c r="M12" s="28" t="s">
        <v>86</v>
      </c>
      <c r="N12" s="16" t="s">
        <v>467</v>
      </c>
      <c r="O12" s="32">
        <v>0</v>
      </c>
      <c r="P12" s="16" t="s">
        <v>468</v>
      </c>
      <c r="Q12" s="16" t="s">
        <v>469</v>
      </c>
      <c r="R12" s="32">
        <v>0.16200000000000001</v>
      </c>
      <c r="S12" s="32">
        <v>0.20899999999999999</v>
      </c>
      <c r="T12" s="32"/>
      <c r="U12" s="32"/>
      <c r="V12" s="32"/>
      <c r="W12" s="32"/>
      <c r="X12" s="32"/>
      <c r="Y12" s="32"/>
      <c r="Z12" s="36"/>
      <c r="AA12" s="32"/>
      <c r="AB12" s="32"/>
      <c r="AC12" s="32"/>
      <c r="AD12" s="32"/>
      <c r="AE12" s="32"/>
      <c r="AF12" s="75" t="s">
        <v>470</v>
      </c>
      <c r="AG12" s="33" t="s">
        <v>471</v>
      </c>
      <c r="AH12" s="32">
        <v>0.11</v>
      </c>
      <c r="AI12" s="32">
        <v>0.183</v>
      </c>
      <c r="AJ12" s="32"/>
      <c r="AK12" s="32">
        <v>-0.24868000000000001</v>
      </c>
      <c r="AL12" s="32">
        <v>0.46867999999999999</v>
      </c>
      <c r="AM12" s="32">
        <v>227</v>
      </c>
      <c r="AN12" s="32"/>
      <c r="AO12" s="32"/>
      <c r="AP12" s="32">
        <v>1</v>
      </c>
      <c r="AQ12" s="32">
        <v>0</v>
      </c>
      <c r="AR12" s="32" t="s">
        <v>81</v>
      </c>
      <c r="AS12" s="32" t="s">
        <v>472</v>
      </c>
      <c r="AT12" s="38" t="s">
        <v>473</v>
      </c>
      <c r="AU12" s="15"/>
      <c r="AV12" s="46" t="s">
        <v>570</v>
      </c>
    </row>
    <row r="13" spans="1:48" ht="405" x14ac:dyDescent="0.25">
      <c r="A13" s="28">
        <v>63</v>
      </c>
      <c r="B13" s="28">
        <v>0</v>
      </c>
      <c r="C13" s="16" t="s">
        <v>474</v>
      </c>
      <c r="D13" s="32">
        <v>2014</v>
      </c>
      <c r="E13" s="32" t="s">
        <v>475</v>
      </c>
      <c r="F13" s="53" t="s">
        <v>197</v>
      </c>
      <c r="G13" s="32" t="s">
        <v>197</v>
      </c>
      <c r="H13" s="28">
        <v>0</v>
      </c>
      <c r="I13" s="15" t="s">
        <v>580</v>
      </c>
      <c r="J13" s="16" t="s">
        <v>465</v>
      </c>
      <c r="K13" s="49" t="s">
        <v>477</v>
      </c>
      <c r="L13" s="70" t="s">
        <v>71</v>
      </c>
      <c r="M13" s="49" t="s">
        <v>86</v>
      </c>
      <c r="N13" s="49" t="s">
        <v>478</v>
      </c>
      <c r="O13" s="32">
        <v>0</v>
      </c>
      <c r="P13" s="15" t="s">
        <v>479</v>
      </c>
      <c r="Q13" s="15" t="s">
        <v>480</v>
      </c>
      <c r="R13" s="17"/>
      <c r="S13" s="17"/>
      <c r="T13" s="32"/>
      <c r="U13" s="32"/>
      <c r="V13" s="32"/>
      <c r="W13" s="32"/>
      <c r="X13" s="32"/>
      <c r="Y13" s="32"/>
      <c r="Z13" s="36"/>
      <c r="AA13" s="32"/>
      <c r="AB13" s="32"/>
      <c r="AC13" s="32"/>
      <c r="AD13" s="32"/>
      <c r="AE13" s="32"/>
      <c r="AF13" s="75" t="s">
        <v>62</v>
      </c>
      <c r="AG13" s="16" t="s">
        <v>481</v>
      </c>
      <c r="AH13" s="32">
        <v>4.7999999999999996E-3</v>
      </c>
      <c r="AI13" s="32">
        <v>2.2000000000000001E-3</v>
      </c>
      <c r="AJ13" s="32"/>
      <c r="AK13" s="32">
        <v>4.8799999999999972E-4</v>
      </c>
      <c r="AL13" s="32">
        <v>9.1119999999999986E-3</v>
      </c>
      <c r="AM13" s="32" t="s">
        <v>74</v>
      </c>
      <c r="AN13" s="32"/>
      <c r="AO13" s="32"/>
      <c r="AP13" s="32">
        <v>1</v>
      </c>
      <c r="AQ13" s="32">
        <v>1</v>
      </c>
      <c r="AR13" s="32" t="s">
        <v>482</v>
      </c>
      <c r="AS13" s="32" t="s">
        <v>483</v>
      </c>
      <c r="AT13" s="38" t="s">
        <v>484</v>
      </c>
      <c r="AU13" s="15"/>
      <c r="AV13" s="16" t="s">
        <v>485</v>
      </c>
    </row>
    <row r="14" spans="1:48" ht="165" x14ac:dyDescent="0.25">
      <c r="A14" s="28">
        <v>65</v>
      </c>
      <c r="B14" s="28">
        <v>0</v>
      </c>
      <c r="C14" s="16" t="s">
        <v>499</v>
      </c>
      <c r="D14" s="32">
        <v>2019</v>
      </c>
      <c r="E14" s="32" t="s">
        <v>500</v>
      </c>
      <c r="F14" s="53" t="s">
        <v>197</v>
      </c>
      <c r="G14" s="32" t="s">
        <v>197</v>
      </c>
      <c r="H14" s="32">
        <v>0</v>
      </c>
      <c r="I14" s="15" t="s">
        <v>503</v>
      </c>
      <c r="J14" s="15" t="s">
        <v>504</v>
      </c>
      <c r="K14" s="15"/>
      <c r="L14" s="28" t="s">
        <v>71</v>
      </c>
      <c r="M14" s="28" t="s">
        <v>86</v>
      </c>
      <c r="N14" s="56" t="s">
        <v>495</v>
      </c>
      <c r="O14" s="32">
        <v>0</v>
      </c>
      <c r="P14" s="15" t="s">
        <v>425</v>
      </c>
      <c r="Q14" s="15"/>
      <c r="R14" s="9"/>
      <c r="S14" s="9"/>
      <c r="T14" s="32">
        <v>3.89</v>
      </c>
      <c r="U14" s="32">
        <v>0.89</v>
      </c>
      <c r="V14" s="32">
        <v>1383</v>
      </c>
      <c r="W14" s="32">
        <v>3.93</v>
      </c>
      <c r="X14" s="32">
        <v>0.88</v>
      </c>
      <c r="Y14" s="32">
        <v>642</v>
      </c>
      <c r="Z14" s="36" t="s">
        <v>136</v>
      </c>
      <c r="AA14" s="32">
        <v>0.05</v>
      </c>
      <c r="AB14" s="32">
        <v>0.34</v>
      </c>
      <c r="AC14" s="32"/>
      <c r="AD14" s="32"/>
      <c r="AE14" s="32"/>
      <c r="AF14" s="75" t="s">
        <v>505</v>
      </c>
      <c r="AG14" s="16" t="s">
        <v>506</v>
      </c>
      <c r="AH14" s="32"/>
      <c r="AI14" s="32"/>
      <c r="AJ14" s="32"/>
      <c r="AK14" s="32"/>
      <c r="AL14" s="32"/>
      <c r="AM14" s="32"/>
      <c r="AN14" s="32"/>
      <c r="AO14" s="32"/>
      <c r="AP14" s="32"/>
      <c r="AQ14" s="32"/>
      <c r="AR14" s="32"/>
      <c r="AS14" s="32"/>
      <c r="AT14" s="38"/>
      <c r="AU14" s="15"/>
      <c r="AV14" s="15" t="s">
        <v>507</v>
      </c>
    </row>
    <row r="15" spans="1:48" ht="150" x14ac:dyDescent="0.25">
      <c r="A15" s="32">
        <v>66</v>
      </c>
      <c r="B15" s="32">
        <v>0</v>
      </c>
      <c r="C15" s="16" t="s">
        <v>508</v>
      </c>
      <c r="D15" s="32">
        <v>2017</v>
      </c>
      <c r="E15" s="32" t="s">
        <v>509</v>
      </c>
      <c r="F15" s="53" t="s">
        <v>197</v>
      </c>
      <c r="G15" s="32" t="s">
        <v>197</v>
      </c>
      <c r="H15" s="32">
        <v>0</v>
      </c>
      <c r="I15" s="15" t="s">
        <v>580</v>
      </c>
      <c r="J15" s="16" t="s">
        <v>513</v>
      </c>
      <c r="K15" s="16" t="s">
        <v>514</v>
      </c>
      <c r="L15" s="32" t="s">
        <v>71</v>
      </c>
      <c r="M15" s="32" t="s">
        <v>86</v>
      </c>
      <c r="N15" s="38" t="s">
        <v>515</v>
      </c>
      <c r="O15" s="32" t="s">
        <v>126</v>
      </c>
      <c r="P15" s="34" t="s">
        <v>394</v>
      </c>
      <c r="Q15" s="33" t="s">
        <v>516</v>
      </c>
      <c r="R15" s="32"/>
      <c r="S15" s="32"/>
      <c r="T15" s="32">
        <v>2.7191000000000001</v>
      </c>
      <c r="U15" s="32">
        <v>0.56379999999999997</v>
      </c>
      <c r="V15" s="32">
        <v>64</v>
      </c>
      <c r="W15" s="32">
        <v>2.9</v>
      </c>
      <c r="X15" s="32">
        <v>0.56159999999999999</v>
      </c>
      <c r="Y15" s="32">
        <v>195</v>
      </c>
      <c r="Z15" s="36" t="s">
        <v>517</v>
      </c>
      <c r="AA15" s="32">
        <v>0.18089999999999984</v>
      </c>
      <c r="AB15" s="32" t="s">
        <v>518</v>
      </c>
      <c r="AC15" s="32"/>
      <c r="AD15" s="32"/>
      <c r="AE15" s="32"/>
      <c r="AF15" s="81" t="s">
        <v>62</v>
      </c>
      <c r="AG15" s="16" t="s">
        <v>397</v>
      </c>
      <c r="AH15" s="32">
        <v>0.66</v>
      </c>
      <c r="AI15" s="32"/>
      <c r="AJ15" s="32" t="s">
        <v>519</v>
      </c>
      <c r="AK15" s="32">
        <v>0.66</v>
      </c>
      <c r="AL15" s="32">
        <v>0.66</v>
      </c>
      <c r="AM15" s="32">
        <v>259</v>
      </c>
      <c r="AN15" s="32"/>
      <c r="AO15" s="32"/>
      <c r="AP15" s="32">
        <v>1</v>
      </c>
      <c r="AQ15" s="32">
        <v>1</v>
      </c>
      <c r="AR15" s="32" t="s">
        <v>520</v>
      </c>
      <c r="AS15" s="32" t="s">
        <v>328</v>
      </c>
      <c r="AT15" s="38" t="s">
        <v>521</v>
      </c>
      <c r="AU15" s="15" t="s">
        <v>522</v>
      </c>
      <c r="AV15" s="15" t="s">
        <v>568</v>
      </c>
    </row>
    <row r="16" spans="1:48" ht="150" x14ac:dyDescent="0.25">
      <c r="A16" s="32">
        <v>67</v>
      </c>
      <c r="B16" s="32">
        <v>0</v>
      </c>
      <c r="C16" s="16" t="s">
        <v>523</v>
      </c>
      <c r="D16" s="32">
        <v>2014</v>
      </c>
      <c r="E16" s="32" t="s">
        <v>524</v>
      </c>
      <c r="F16" s="53" t="s">
        <v>197</v>
      </c>
      <c r="G16" s="32" t="s">
        <v>197</v>
      </c>
      <c r="H16" s="32">
        <v>0</v>
      </c>
      <c r="I16" s="15" t="s">
        <v>580</v>
      </c>
      <c r="J16" s="16" t="s">
        <v>528</v>
      </c>
      <c r="K16" s="16" t="s">
        <v>529</v>
      </c>
      <c r="L16" s="32" t="s">
        <v>71</v>
      </c>
      <c r="M16" s="32" t="s">
        <v>86</v>
      </c>
      <c r="N16" s="16" t="s">
        <v>530</v>
      </c>
      <c r="O16" s="32" t="s">
        <v>126</v>
      </c>
      <c r="P16" s="16" t="s">
        <v>531</v>
      </c>
      <c r="Q16" s="33" t="s">
        <v>81</v>
      </c>
      <c r="R16" s="32"/>
      <c r="S16" s="32"/>
      <c r="T16" s="32"/>
      <c r="U16" s="32"/>
      <c r="V16" s="32"/>
      <c r="W16" s="32"/>
      <c r="X16" s="32"/>
      <c r="Y16" s="32"/>
      <c r="Z16" s="36"/>
      <c r="AA16" s="32"/>
      <c r="AB16" s="32"/>
      <c r="AC16" s="32"/>
      <c r="AD16" s="32"/>
      <c r="AE16" s="32"/>
      <c r="AF16" s="81" t="s">
        <v>532</v>
      </c>
      <c r="AG16" s="33" t="s">
        <v>533</v>
      </c>
      <c r="AH16" s="32">
        <v>1.7000000000000001E-2</v>
      </c>
      <c r="AI16" s="32"/>
      <c r="AJ16" s="32">
        <v>4.0000000000000001E-3</v>
      </c>
      <c r="AK16" s="32">
        <v>1.7000000000000001E-2</v>
      </c>
      <c r="AL16" s="32">
        <v>1.7000000000000001E-2</v>
      </c>
      <c r="AM16" s="32">
        <v>383</v>
      </c>
      <c r="AN16" s="32"/>
      <c r="AO16" s="32"/>
      <c r="AP16" s="32">
        <v>1</v>
      </c>
      <c r="AQ16" s="32">
        <v>1</v>
      </c>
      <c r="AR16" s="32" t="s">
        <v>81</v>
      </c>
      <c r="AS16" s="32" t="s">
        <v>366</v>
      </c>
      <c r="AT16" s="38" t="s">
        <v>534</v>
      </c>
      <c r="AU16" s="15"/>
      <c r="AV16" s="15" t="s">
        <v>535</v>
      </c>
    </row>
    <row r="17" spans="1:48" ht="150" x14ac:dyDescent="0.25">
      <c r="A17" s="32">
        <v>68</v>
      </c>
      <c r="B17" s="32">
        <v>0</v>
      </c>
      <c r="C17" s="16" t="s">
        <v>536</v>
      </c>
      <c r="D17" s="32">
        <v>2014</v>
      </c>
      <c r="E17" s="32" t="s">
        <v>537</v>
      </c>
      <c r="F17" s="53" t="s">
        <v>197</v>
      </c>
      <c r="G17" s="32" t="s">
        <v>197</v>
      </c>
      <c r="H17" s="32">
        <v>0</v>
      </c>
      <c r="I17" s="16" t="s">
        <v>541</v>
      </c>
      <c r="J17" s="16" t="s">
        <v>441</v>
      </c>
      <c r="K17" s="28" t="s">
        <v>542</v>
      </c>
      <c r="L17" s="32" t="s">
        <v>71</v>
      </c>
      <c r="M17" s="32" t="s">
        <v>86</v>
      </c>
      <c r="N17" s="33" t="s">
        <v>543</v>
      </c>
      <c r="O17" s="32" t="s">
        <v>71</v>
      </c>
      <c r="P17" s="33" t="s">
        <v>68</v>
      </c>
      <c r="Q17" s="32"/>
      <c r="R17" s="32"/>
      <c r="S17" s="32"/>
      <c r="T17" s="32"/>
      <c r="U17" s="32"/>
      <c r="V17" s="32"/>
      <c r="W17" s="32"/>
      <c r="X17" s="32"/>
      <c r="Y17" s="32"/>
      <c r="Z17" s="36"/>
      <c r="AA17" s="32"/>
      <c r="AB17" s="32"/>
      <c r="AC17" s="32"/>
      <c r="AD17" s="32"/>
      <c r="AE17" s="32"/>
      <c r="AF17" s="36"/>
      <c r="AG17" s="32"/>
      <c r="AH17" s="32"/>
      <c r="AI17" s="32"/>
      <c r="AJ17" s="32"/>
      <c r="AK17" s="32">
        <v>0</v>
      </c>
      <c r="AL17" s="32">
        <v>0</v>
      </c>
      <c r="AM17" s="32"/>
      <c r="AN17" s="32"/>
      <c r="AO17" s="32"/>
      <c r="AP17" s="32"/>
      <c r="AQ17" s="32"/>
      <c r="AR17" s="32"/>
      <c r="AS17" s="32"/>
      <c r="AT17" s="38"/>
      <c r="AU17" s="15"/>
      <c r="AV17" s="15" t="s">
        <v>544</v>
      </c>
    </row>
    <row r="18" spans="1:48" ht="165" x14ac:dyDescent="0.25">
      <c r="A18" s="32">
        <v>69</v>
      </c>
      <c r="B18" s="32">
        <v>0</v>
      </c>
      <c r="C18" s="16" t="s">
        <v>569</v>
      </c>
      <c r="D18" s="32">
        <v>2014</v>
      </c>
      <c r="E18" s="32" t="s">
        <v>545</v>
      </c>
      <c r="F18" s="53" t="s">
        <v>197</v>
      </c>
      <c r="G18" s="32" t="s">
        <v>197</v>
      </c>
      <c r="H18" s="32">
        <v>0</v>
      </c>
      <c r="I18" s="15" t="s">
        <v>454</v>
      </c>
      <c r="J18" s="16" t="s">
        <v>465</v>
      </c>
      <c r="K18" s="28" t="s">
        <v>562</v>
      </c>
      <c r="L18" s="32" t="s">
        <v>71</v>
      </c>
      <c r="M18" s="32" t="s">
        <v>86</v>
      </c>
      <c r="N18" s="33" t="s">
        <v>563</v>
      </c>
      <c r="O18" s="32" t="s">
        <v>126</v>
      </c>
      <c r="P18" s="16" t="s">
        <v>639</v>
      </c>
      <c r="Q18" s="33" t="s">
        <v>203</v>
      </c>
      <c r="R18" s="32"/>
      <c r="S18" s="32"/>
      <c r="T18" s="32"/>
      <c r="U18" s="32"/>
      <c r="V18" s="32"/>
      <c r="W18" s="32"/>
      <c r="X18" s="32"/>
      <c r="Y18" s="32"/>
      <c r="Z18" s="36"/>
      <c r="AA18" s="32"/>
      <c r="AB18" s="32"/>
      <c r="AC18" s="32"/>
      <c r="AD18" s="32"/>
      <c r="AE18" s="32"/>
      <c r="AF18" s="81" t="s">
        <v>460</v>
      </c>
      <c r="AG18" s="33" t="s">
        <v>564</v>
      </c>
      <c r="AH18" s="32">
        <v>0.01</v>
      </c>
      <c r="AI18" s="32"/>
      <c r="AJ18" s="32"/>
      <c r="AK18" s="32"/>
      <c r="AL18" s="32"/>
      <c r="AM18" s="32">
        <v>488223</v>
      </c>
      <c r="AN18" s="32"/>
      <c r="AO18" s="32"/>
      <c r="AP18" s="32" t="s">
        <v>566</v>
      </c>
      <c r="AQ18" s="32">
        <v>1</v>
      </c>
      <c r="AR18" s="32" t="s">
        <v>482</v>
      </c>
      <c r="AS18" s="32" t="s">
        <v>565</v>
      </c>
      <c r="AT18" s="38"/>
      <c r="AU18" s="15" t="s">
        <v>567</v>
      </c>
      <c r="AV18" s="15" t="s">
        <v>568</v>
      </c>
    </row>
    <row r="19" spans="1:48" ht="409.5" x14ac:dyDescent="0.25">
      <c r="A19" s="32">
        <v>70</v>
      </c>
      <c r="B19" s="67">
        <v>0</v>
      </c>
      <c r="C19" s="16" t="s">
        <v>581</v>
      </c>
      <c r="D19" s="32">
        <v>2019</v>
      </c>
      <c r="E19" s="32" t="s">
        <v>582</v>
      </c>
      <c r="F19" s="53" t="s">
        <v>197</v>
      </c>
      <c r="G19" s="32" t="s">
        <v>197</v>
      </c>
      <c r="H19" s="32">
        <v>0</v>
      </c>
      <c r="I19" s="15" t="s">
        <v>580</v>
      </c>
      <c r="J19" t="s">
        <v>579</v>
      </c>
      <c r="K19" s="87" t="s">
        <v>578</v>
      </c>
      <c r="L19" s="32" t="s">
        <v>71</v>
      </c>
      <c r="M19" s="32" t="s">
        <v>86</v>
      </c>
      <c r="N19" t="s">
        <v>585</v>
      </c>
      <c r="O19" s="67">
        <v>0</v>
      </c>
      <c r="P19" s="34" t="s">
        <v>586</v>
      </c>
      <c r="Q19" s="33" t="s">
        <v>587</v>
      </c>
      <c r="R19">
        <v>2.9</v>
      </c>
      <c r="S19">
        <v>0.6</v>
      </c>
      <c r="Z19" s="36"/>
      <c r="AF19" s="93" t="s">
        <v>62</v>
      </c>
      <c r="AG19" s="86" t="s">
        <v>588</v>
      </c>
      <c r="AH19" s="32">
        <v>-1.4E-2</v>
      </c>
      <c r="AI19" s="67">
        <v>1.7000000000000001E-2</v>
      </c>
      <c r="AK19" s="32">
        <v>-4.7320000000000001E-2</v>
      </c>
      <c r="AL19" s="32">
        <v>1.9320000000000004E-2</v>
      </c>
      <c r="AM19" s="29">
        <v>5819</v>
      </c>
      <c r="AN19" s="67">
        <v>0.6</v>
      </c>
      <c r="AO19" s="67">
        <v>0.5</v>
      </c>
      <c r="AP19" s="67">
        <v>1</v>
      </c>
      <c r="AQ19" s="32">
        <v>1</v>
      </c>
      <c r="AR19" s="32" t="s">
        <v>589</v>
      </c>
      <c r="AS19" s="32" t="s">
        <v>590</v>
      </c>
      <c r="AT19" s="38" t="s">
        <v>591</v>
      </c>
      <c r="AU19" s="15"/>
      <c r="AV19" s="15" t="s">
        <v>592</v>
      </c>
    </row>
    <row r="20" spans="1:48" ht="285" x14ac:dyDescent="0.25">
      <c r="A20" s="32">
        <v>71</v>
      </c>
      <c r="B20" s="67">
        <v>0</v>
      </c>
      <c r="C20" s="16" t="s">
        <v>620</v>
      </c>
      <c r="D20" s="32">
        <v>2019</v>
      </c>
      <c r="E20" s="32" t="s">
        <v>621</v>
      </c>
      <c r="F20" s="53" t="s">
        <v>197</v>
      </c>
      <c r="G20" s="32" t="s">
        <v>197</v>
      </c>
      <c r="H20" s="32">
        <v>0</v>
      </c>
      <c r="I20" s="15" t="s">
        <v>624</v>
      </c>
      <c r="J20" t="s">
        <v>625</v>
      </c>
      <c r="K20" s="87" t="s">
        <v>626</v>
      </c>
      <c r="L20" s="32" t="s">
        <v>71</v>
      </c>
      <c r="M20" s="32" t="s">
        <v>86</v>
      </c>
      <c r="N20" t="s">
        <v>627</v>
      </c>
      <c r="O20" s="32" t="s">
        <v>71</v>
      </c>
      <c r="P20" s="33" t="s">
        <v>628</v>
      </c>
      <c r="Q20" s="33" t="s">
        <v>81</v>
      </c>
      <c r="Z20" s="36"/>
      <c r="AF20" s="82" t="s">
        <v>624</v>
      </c>
      <c r="AG20" t="s">
        <v>630</v>
      </c>
      <c r="AH20" s="67">
        <v>-5.4899999999999997E-2</v>
      </c>
      <c r="AI20">
        <v>2.7099999999999999E-2</v>
      </c>
      <c r="AK20" s="32">
        <v>-0.108016</v>
      </c>
      <c r="AL20" s="32">
        <v>-1.7840000000000009E-3</v>
      </c>
      <c r="AP20" s="32">
        <v>0</v>
      </c>
      <c r="AQ20" s="32">
        <v>1</v>
      </c>
      <c r="AR20" s="32" t="s">
        <v>81</v>
      </c>
      <c r="AS20" s="32" t="s">
        <v>631</v>
      </c>
      <c r="AT20" s="38"/>
      <c r="AU20" s="15"/>
      <c r="AV20" s="15" t="s">
        <v>632</v>
      </c>
    </row>
  </sheetData>
  <mergeCells count="4">
    <mergeCell ref="R1:AT1"/>
    <mergeCell ref="R2:Y2"/>
    <mergeCell ref="Z2:AB2"/>
    <mergeCell ref="AH2:AT2"/>
  </mergeCells>
  <conditionalFormatting sqref="C19:E20">
    <cfRule type="expression" dxfId="29" priority="27">
      <formula>LEN(C19)=0</formula>
    </cfRule>
  </conditionalFormatting>
  <conditionalFormatting sqref="F12:F20">
    <cfRule type="expression" dxfId="28" priority="26">
      <formula>LEN(F12)=0</formula>
    </cfRule>
  </conditionalFormatting>
  <conditionalFormatting sqref="F10:G11">
    <cfRule type="expression" dxfId="27" priority="41">
      <formula>LEN(F10)=0</formula>
    </cfRule>
  </conditionalFormatting>
  <conditionalFormatting sqref="F4:K5">
    <cfRule type="expression" dxfId="26" priority="49">
      <formula>LEN(F4)=0</formula>
    </cfRule>
  </conditionalFormatting>
  <conditionalFormatting sqref="G15:H16 G17:X17 Q18:X18 Q19 AH19 AQ19:AS19 L19:M20 O20:Q20 AP20:AS20">
    <cfRule type="expression" dxfId="25" priority="25">
      <formula>LEN(G15)=0</formula>
    </cfRule>
  </conditionalFormatting>
  <conditionalFormatting sqref="G18:H20">
    <cfRule type="expression" dxfId="24" priority="7">
      <formula>LEN(G18)=0</formula>
    </cfRule>
  </conditionalFormatting>
  <conditionalFormatting sqref="I10:J10">
    <cfRule type="expression" dxfId="23" priority="34">
      <formula>LEN(I10)=0</formula>
    </cfRule>
  </conditionalFormatting>
  <conditionalFormatting sqref="J13">
    <cfRule type="expression" dxfId="22" priority="33">
      <formula>LEN(J13)=0</formula>
    </cfRule>
  </conditionalFormatting>
  <conditionalFormatting sqref="J18:O18">
    <cfRule type="expression" dxfId="21" priority="16">
      <formula>LEN(J18)=0</formula>
    </cfRule>
  </conditionalFormatting>
  <conditionalFormatting sqref="J15:X16">
    <cfRule type="expression" dxfId="20" priority="17">
      <formula>LEN(J15)=0</formula>
    </cfRule>
  </conditionalFormatting>
  <conditionalFormatting sqref="M6:M11">
    <cfRule type="expression" dxfId="19" priority="36">
      <formula>LEN(M6)=0</formula>
    </cfRule>
  </conditionalFormatting>
  <conditionalFormatting sqref="O4:O5 N6:P6 R6:AJ7 F6:L8 N7 R8:AH8 AI8:AJ9 F9:H9 J9:L9 N9 Q9:S9 AF9:AH9 T9:AE13 AF10:AF13 J12:M12 AG12:AS12 H12:H13 AH13:AS13 A15:E18 A19:A20">
    <cfRule type="expression" dxfId="18" priority="53">
      <formula>LEN(A4)=0</formula>
    </cfRule>
  </conditionalFormatting>
  <conditionalFormatting sqref="O7:O13">
    <cfRule type="expression" dxfId="17" priority="45">
      <formula>LEN(O7)=0</formula>
    </cfRule>
  </conditionalFormatting>
  <conditionalFormatting sqref="P4">
    <cfRule type="expression" dxfId="16" priority="51">
      <formula>LEN(P4)=0</formula>
    </cfRule>
  </conditionalFormatting>
  <conditionalFormatting sqref="P7:P9">
    <cfRule type="expression" dxfId="15" priority="29">
      <formula>LEN(P7)=0</formula>
    </cfRule>
  </conditionalFormatting>
  <conditionalFormatting sqref="P11">
    <cfRule type="expression" dxfId="14" priority="28">
      <formula>LEN(P11)=0</formula>
    </cfRule>
  </conditionalFormatting>
  <conditionalFormatting sqref="P18:P19">
    <cfRule type="expression" dxfId="13" priority="1">
      <formula>LEN(P18)=0</formula>
    </cfRule>
  </conditionalFormatting>
  <conditionalFormatting sqref="P12:S12">
    <cfRule type="expression" dxfId="12" priority="35">
      <formula>LEN(P12)=0</formula>
    </cfRule>
  </conditionalFormatting>
  <conditionalFormatting sqref="R4:AS5">
    <cfRule type="expression" dxfId="11" priority="48">
      <formula>LEN(R4)=0</formula>
    </cfRule>
  </conditionalFormatting>
  <conditionalFormatting sqref="Y14:AE18">
    <cfRule type="expression" dxfId="10" priority="22">
      <formula>LEN(Y14)=0</formula>
    </cfRule>
  </conditionalFormatting>
  <conditionalFormatting sqref="Z19:Z20">
    <cfRule type="expression" dxfId="9" priority="3">
      <formula>LEN(Z19)=0</formula>
    </cfRule>
  </conditionalFormatting>
  <conditionalFormatting sqref="AF15:AG15">
    <cfRule type="expression" dxfId="8" priority="18">
      <formula>LEN(AF15)=0</formula>
    </cfRule>
  </conditionalFormatting>
  <conditionalFormatting sqref="AF16:AJ18">
    <cfRule type="expression" dxfId="7" priority="15">
      <formula>LEN(AF16)=0</formula>
    </cfRule>
  </conditionalFormatting>
  <conditionalFormatting sqref="AG11">
    <cfRule type="expression" dxfId="6" priority="40">
      <formula>LEN(AG11)=0</formula>
    </cfRule>
  </conditionalFormatting>
  <conditionalFormatting sqref="AH14:AJ15">
    <cfRule type="expression" dxfId="5" priority="9">
      <formula>LEN(AH14)=0</formula>
    </cfRule>
  </conditionalFormatting>
  <conditionalFormatting sqref="AK14:AL20">
    <cfRule type="expression" dxfId="4" priority="2">
      <formula>LEN(AK14)=0</formula>
    </cfRule>
  </conditionalFormatting>
  <conditionalFormatting sqref="AK6:AS9">
    <cfRule type="expression" dxfId="3" priority="30">
      <formula>LEN(AK6)=0</formula>
    </cfRule>
  </conditionalFormatting>
  <conditionalFormatting sqref="AM19">
    <cfRule type="expression" dxfId="2" priority="5">
      <formula>LEN(AM19)=0</formula>
    </cfRule>
  </conditionalFormatting>
  <conditionalFormatting sqref="AM14:AS18">
    <cfRule type="expression" dxfId="1" priority="8">
      <formula>LEN(AM14)=0</formula>
    </cfRule>
  </conditionalFormatting>
  <conditionalFormatting sqref="AR10:AR11">
    <cfRule type="expression" dxfId="0" priority="38">
      <formula>LEN(AR10)=0</formula>
    </cfRule>
  </conditionalFormatting>
  <pageMargins left="0.7" right="0.7" top="0.78740157499999996" bottom="0.78740157499999996"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All studies</vt:lpstr>
      <vt:lpstr>Games</vt:lpstr>
      <vt:lpstr>Surveys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 Burger</dc:creator>
  <cp:lastModifiedBy>Ivo Steimanis</cp:lastModifiedBy>
  <dcterms:created xsi:type="dcterms:W3CDTF">2022-12-20T13:34:00Z</dcterms:created>
  <dcterms:modified xsi:type="dcterms:W3CDTF">2026-03-12T12:10:47Z</dcterms:modified>
</cp:coreProperties>
</file>